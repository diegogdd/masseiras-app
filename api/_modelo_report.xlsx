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.batista\Downloads\masseiras-app-main\masseiras-app-main\api\"/>
    </mc:Choice>
  </mc:AlternateContent>
  <xr:revisionPtr revIDLastSave="0" documentId="13_ncr:1_{85EFB7B2-E71C-43F5-BEFF-E2C4D597E8F6}" xr6:coauthVersionLast="47" xr6:coauthVersionMax="47" xr10:uidLastSave="{00000000-0000-0000-0000-000000000000}"/>
  <bookViews>
    <workbookView xWindow="-108" yWindow="-108" windowWidth="23256" windowHeight="12456" tabRatio="599" xr2:uid="{A61D48FF-59C3-42AE-88A3-50A1935DB5F5}"/>
  </bookViews>
  <sheets>
    <sheet name="Report" sheetId="1" r:id="rId1"/>
    <sheet name="Farinhas" sheetId="3" state="hidden" r:id="rId2"/>
    <sheet name="base itens" sheetId="2" state="hidden" r:id="rId3"/>
  </sheets>
  <definedNames>
    <definedName name="_xlnm._FilterDatabase" localSheetId="2" hidden="1">'base itens'!$A$1:$C$16</definedName>
    <definedName name="_xlnm._FilterDatabase" localSheetId="0" hidden="1">Report!$B$2:$Q$29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E10" i="1"/>
  <c r="E11" i="1"/>
  <c r="K9" i="1"/>
  <c r="K8" i="1"/>
  <c r="K6" i="1"/>
  <c r="E22" i="1"/>
  <c r="E20" i="1"/>
  <c r="K7" i="1"/>
  <c r="E7" i="1"/>
  <c r="E24" i="1"/>
  <c r="E21" i="1"/>
  <c r="E9" i="1"/>
  <c r="E19" i="1"/>
  <c r="E8" i="1"/>
  <c r="B26" i="1"/>
  <c r="E6" i="1"/>
</calcChain>
</file>

<file path=xl/sharedStrings.xml><?xml version="1.0" encoding="utf-8"?>
<sst xmlns="http://schemas.openxmlformats.org/spreadsheetml/2006/main" count="238" uniqueCount="154">
  <si>
    <t>SETOR</t>
  </si>
  <si>
    <t>TURNO</t>
  </si>
  <si>
    <t>DATA</t>
  </si>
  <si>
    <t>1º</t>
  </si>
  <si>
    <t>2º</t>
  </si>
  <si>
    <t>CODIGO</t>
  </si>
  <si>
    <t>DESCRIÇÃO</t>
  </si>
  <si>
    <t>%</t>
  </si>
  <si>
    <t>Nº OP</t>
  </si>
  <si>
    <t xml:space="preserve">Ocorrências: </t>
  </si>
  <si>
    <t>Pct</t>
  </si>
  <si>
    <t>3º</t>
  </si>
  <si>
    <t>MOTIVOS</t>
  </si>
  <si>
    <t>CODIGO PRODUTO</t>
  </si>
  <si>
    <t>QTDE (KG)</t>
  </si>
  <si>
    <t>MOTIVO</t>
  </si>
  <si>
    <t>REPROCESSO GERADO</t>
  </si>
  <si>
    <t>CODIGO REPROC</t>
  </si>
  <si>
    <t>Cód. Prod.</t>
  </si>
  <si>
    <t>Descr. Prod.</t>
  </si>
  <si>
    <t>PF0002</t>
  </si>
  <si>
    <t>PAO FRANCES 12 H PCT C/ 7,5 KG</t>
  </si>
  <si>
    <t>PF0003</t>
  </si>
  <si>
    <t>PAO FRANCES 15 H PCT C/ 7,5 KG</t>
  </si>
  <si>
    <t>PF0005</t>
  </si>
  <si>
    <t>PAO FRANCES 6 H PCT C/ 7,5 KG</t>
  </si>
  <si>
    <t>PG0030</t>
  </si>
  <si>
    <t>PAO COMUM TIPO HOT DOG PCT 4,0 KG (50 UNID X 80 G)</t>
  </si>
  <si>
    <t>MR0027</t>
  </si>
  <si>
    <t>MASSA REPROCESSO SALGADA - PRODUCAO</t>
  </si>
  <si>
    <t>PAO COMUM TIPO CARA/MASSA DOCE PCT 6,5 KG (100 UNID X 65 G)</t>
  </si>
  <si>
    <t>JBT (PÃO FRANCÊS)</t>
  </si>
  <si>
    <t>PADARIA/SALGADOS 01</t>
  </si>
  <si>
    <t>SALGADOS 02</t>
  </si>
  <si>
    <t>FALTANTES</t>
  </si>
  <si>
    <t>LOTES PROGRAMADOS</t>
  </si>
  <si>
    <t>LOTES PRODUZIDOS</t>
  </si>
  <si>
    <t>Rendimento Caixas</t>
  </si>
  <si>
    <t>CXS/PCTS PRODUZIDOS</t>
  </si>
  <si>
    <t>ABSORÇÃO %</t>
  </si>
  <si>
    <t>REPORT DE PRODUÇÃO DIÁRIA - JBT</t>
  </si>
  <si>
    <t>LOTES</t>
  </si>
  <si>
    <t>FARINHA</t>
  </si>
  <si>
    <t>MR0036</t>
  </si>
  <si>
    <t>PF0013</t>
  </si>
  <si>
    <t>PAO FRANCES 6 H PANFACIL PCT C/ 6,6 KG</t>
  </si>
  <si>
    <t>1º TURNO</t>
  </si>
  <si>
    <t>2º TURNO</t>
  </si>
  <si>
    <t>JAIR MARTINS CORDEIRO</t>
  </si>
  <si>
    <t>WELLINGTON CESAR TESTA</t>
  </si>
  <si>
    <t>ADENILSON INHAIA DA MOTA</t>
  </si>
  <si>
    <t>GUSTAVO DE LIMA DE MEDEIROS SANTOS</t>
  </si>
  <si>
    <t>JOCEMAR JOSE GONCALVES</t>
  </si>
  <si>
    <t>KAIQUE DO PRADO OLIVEIRA</t>
  </si>
  <si>
    <t>CASSIO MORAIS DA COSTA</t>
  </si>
  <si>
    <t>CELIOMAR VASCONCELOS BORGES</t>
  </si>
  <si>
    <t>EVA ISOLINA DA SILVA</t>
  </si>
  <si>
    <t>LUIS GUSTAVO MORAS</t>
  </si>
  <si>
    <t>MARCOS VERLINDES</t>
  </si>
  <si>
    <t>RENATA DE LIMA PIRES</t>
  </si>
  <si>
    <t>TURNO 1</t>
  </si>
  <si>
    <t>TURNO 2</t>
  </si>
  <si>
    <t>TURNO 3</t>
  </si>
  <si>
    <t>FALTA</t>
  </si>
  <si>
    <t>ATESTADO</t>
  </si>
  <si>
    <t>SAIU MAIS CEDO</t>
  </si>
  <si>
    <t>ENTROU MAIS TARDE</t>
  </si>
  <si>
    <t>AFASTAMENTO</t>
  </si>
  <si>
    <t>FÉRIAS</t>
  </si>
  <si>
    <t>NOME</t>
  </si>
  <si>
    <t>MASSA REPROCESSO PÃO FRANCÊS</t>
  </si>
  <si>
    <t>HENRIQUE TAYRONE ROCHA</t>
  </si>
  <si>
    <t xml:space="preserve">MESCLA (225 kg REALTA E 75 kg DONA ALDA) </t>
  </si>
  <si>
    <t>QTDE (PCT)</t>
  </si>
  <si>
    <t xml:space="preserve">MESCLA (120 KG DONA ALDA E 180 KG BUNGE) </t>
  </si>
  <si>
    <t>JOSE HENRIQUE GONÇALVES</t>
  </si>
  <si>
    <t xml:space="preserve">VIVIANE ALVES DOS SANTOS </t>
  </si>
  <si>
    <t>TREINAMENTO</t>
  </si>
  <si>
    <t>FABIANO FERNANDES</t>
  </si>
  <si>
    <t xml:space="preserve">DANIELY RAMOS </t>
  </si>
  <si>
    <t xml:space="preserve">ALEXANDRE FARIAS </t>
  </si>
  <si>
    <t xml:space="preserve">CARLA RISSARDI </t>
  </si>
  <si>
    <t xml:space="preserve">IONE MARA SUTIL LEAL </t>
  </si>
  <si>
    <t>GUILHERME ROSA SEBOLD</t>
  </si>
  <si>
    <t>FOLGA</t>
  </si>
  <si>
    <t>CEDENIR</t>
  </si>
  <si>
    <t xml:space="preserve">ROBERTA VITORIA SANTOS </t>
  </si>
  <si>
    <t xml:space="preserve">ANDRESSA TELLES </t>
  </si>
  <si>
    <t>PG0138</t>
  </si>
  <si>
    <t>SUSPENSÃO</t>
  </si>
  <si>
    <t>LEONARDO</t>
  </si>
  <si>
    <t>ANTHONY</t>
  </si>
  <si>
    <t>MR0001</t>
  </si>
  <si>
    <t>LUANA</t>
  </si>
  <si>
    <t>MATEUS</t>
  </si>
  <si>
    <t>REPROCESSO CONSUMIDO</t>
  </si>
  <si>
    <t>RICARDO</t>
  </si>
  <si>
    <t>WELITON</t>
  </si>
  <si>
    <t>IVONETE</t>
  </si>
  <si>
    <t>PF0014</t>
  </si>
  <si>
    <t>PAO FRANCES 6 H (G) PCT C/ 7,5 KG    </t>
  </si>
  <si>
    <t>ANTONIO</t>
  </si>
  <si>
    <t>PF0006</t>
  </si>
  <si>
    <t>SUZANA</t>
  </si>
  <si>
    <t>GELO</t>
  </si>
  <si>
    <t>MP0033</t>
  </si>
  <si>
    <t>MESCLA 50% A 50% (DONA ALDA E BUNGE)</t>
  </si>
  <si>
    <t>MESCLA 50% A 50% (ALDA E REALTA)</t>
  </si>
  <si>
    <t>MESCLA 50% A 50% (GALÓPOLIS /REALTA)</t>
  </si>
  <si>
    <t xml:space="preserve">MESCLA  50% A 50% (ROSEFLOR E REALTA) </t>
  </si>
  <si>
    <t>MESCLA  50% A 50% (REALTA E BUNGE)</t>
  </si>
  <si>
    <t>MESCLA  50% A 50% (REALTA E FRISIA)</t>
  </si>
  <si>
    <t>DADIELE</t>
  </si>
  <si>
    <t>MESCLA  70% A 30% A 20% (REALTA,BUNGE E ALDA)</t>
  </si>
  <si>
    <t>VEIO NA MULTIFUNCIONAL</t>
  </si>
  <si>
    <t>PF0015</t>
  </si>
  <si>
    <t>PAO FRANCES 38% INTEGRAL PCT C/ 7,5 KG</t>
  </si>
  <si>
    <t>FRISIA</t>
  </si>
  <si>
    <t>PF0016</t>
  </si>
  <si>
    <t>PAO FRANCES FERMENTAÇÃO NATURAL PCT C/ 7,5 KG</t>
  </si>
  <si>
    <t>RODRIGO ANTUNES</t>
  </si>
  <si>
    <t>MARCOS BENTES</t>
  </si>
  <si>
    <t>TAINARA</t>
  </si>
  <si>
    <t>EZIEL</t>
  </si>
  <si>
    <t>MESCLA   70% A 30% A 20% (REALTA,COPAVEL E GALÓPOLIS)</t>
  </si>
  <si>
    <t>MESCLA 70% A 30% A 20% (REALTA,BUNGE E GALÓPOLIS)</t>
  </si>
  <si>
    <t>MESCLA   70% A 30% A 20% (REALTA,COPAVEL E BUNGE)</t>
  </si>
  <si>
    <t>MESCLA  70% A 30% A 20% (REALTA,BUNGE E FRISIA)</t>
  </si>
  <si>
    <t>RODRIGO WILLIAN</t>
  </si>
  <si>
    <t>ERICK</t>
  </si>
  <si>
    <t>ADRIAN</t>
  </si>
  <si>
    <t>EDEMAR LAMPUGNANI</t>
  </si>
  <si>
    <t>RICARDO ALVES</t>
  </si>
  <si>
    <t xml:space="preserve">EDUARDA </t>
  </si>
  <si>
    <t>JEVESON ASSIS DE QUADROS</t>
  </si>
  <si>
    <t>N/ GEROU REPROSESSO</t>
  </si>
  <si>
    <t>MATHEUS</t>
  </si>
  <si>
    <t>LICENÇA PATERNIDADE</t>
  </si>
  <si>
    <t>MESCLA 70% A 30% (REALTA E COPAVEL)</t>
  </si>
  <si>
    <t>MATHEUS P</t>
  </si>
  <si>
    <t>MESCLA 70% A 30% (BUNGUE E REALTA)</t>
  </si>
  <si>
    <t>FARINHA 38%INTAGRAL</t>
  </si>
  <si>
    <t>MESCLA  50% A 50% (BUNGUE E REALTA)</t>
  </si>
  <si>
    <t>MAICON</t>
  </si>
  <si>
    <t>PF0017</t>
  </si>
  <si>
    <t>PAO PROTEICO</t>
  </si>
  <si>
    <t>MESCLA  50% A 50% BUNGUE E COPAVEL)</t>
  </si>
  <si>
    <t>willian</t>
  </si>
  <si>
    <t>Ajuste da embaladora,falta de massa (masseiro)</t>
  </si>
  <si>
    <t>3 TURNO</t>
  </si>
  <si>
    <t>INFORMAÇÕES DO GELO</t>
  </si>
  <si>
    <t>PACOTES PESADOS</t>
  </si>
  <si>
    <t>ESTOQUE</t>
  </si>
  <si>
    <t>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</si>
</sst>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C000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2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1" applyNumberFormat="0" applyFill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34" applyNumberFormat="0" applyAlignment="0" applyProtection="0"/>
    <xf numFmtId="0" fontId="27" fillId="11" borderId="35" applyNumberFormat="0" applyAlignment="0" applyProtection="0"/>
    <xf numFmtId="0" fontId="28" fillId="11" borderId="34" applyNumberFormat="0" applyAlignment="0" applyProtection="0"/>
    <xf numFmtId="0" fontId="29" fillId="0" borderId="36" applyNumberFormat="0" applyFill="0" applyAlignment="0" applyProtection="0"/>
    <xf numFmtId="0" fontId="2" fillId="12" borderId="37" applyNumberFormat="0" applyAlignment="0" applyProtection="0"/>
    <xf numFmtId="0" fontId="10" fillId="0" borderId="0" applyNumberFormat="0" applyFill="0" applyBorder="0" applyAlignment="0" applyProtection="0"/>
    <xf numFmtId="0" fontId="1" fillId="13" borderId="3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39" applyNumberFormat="0" applyFill="0" applyAlignment="0" applyProtection="0"/>
    <xf numFmtId="0" fontId="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87">
    <xf numFmtId="0" fontId="0" fillId="0" borderId="0" xfId="0"/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wrapText="1"/>
      <protection locked="0"/>
    </xf>
    <xf numFmtId="0" fontId="0" fillId="0" borderId="0" xfId="0" applyAlignment="1" applyProtection="1">
      <alignment vertical="center"/>
      <protection hidden="1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hidden="1"/>
    </xf>
    <xf numFmtId="0" fontId="7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/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 applyProtection="1">
      <alignment horizontal="center"/>
      <protection hidden="1"/>
    </xf>
    <xf numFmtId="0" fontId="11" fillId="4" borderId="3" xfId="0" applyFont="1" applyFill="1" applyBorder="1" applyAlignment="1" applyProtection="1">
      <alignment horizontal="center"/>
      <protection hidden="1"/>
    </xf>
    <xf numFmtId="0" fontId="11" fillId="4" borderId="4" xfId="0" applyFont="1" applyFill="1" applyBorder="1" applyAlignment="1" applyProtection="1">
      <alignment horizontal="center"/>
      <protection hidden="1"/>
    </xf>
    <xf numFmtId="9" fontId="6" fillId="5" borderId="8" xfId="1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 wrapText="1"/>
      <protection hidden="1"/>
    </xf>
    <xf numFmtId="0" fontId="11" fillId="4" borderId="1" xfId="0" applyFont="1" applyFill="1" applyBorder="1" applyAlignment="1" applyProtection="1">
      <alignment horizontal="center"/>
      <protection hidden="1"/>
    </xf>
    <xf numFmtId="0" fontId="16" fillId="4" borderId="18" xfId="0" applyFont="1" applyFill="1" applyBorder="1" applyAlignment="1" applyProtection="1">
      <alignment horizontal="center"/>
      <protection hidden="1"/>
    </xf>
    <xf numFmtId="0" fontId="16" fillId="4" borderId="12" xfId="0" applyFont="1" applyFill="1" applyBorder="1" applyAlignment="1" applyProtection="1">
      <alignment horizontal="center"/>
      <protection hidden="1"/>
    </xf>
    <xf numFmtId="0" fontId="16" fillId="4" borderId="3" xfId="0" applyFont="1" applyFill="1" applyBorder="1" applyAlignment="1" applyProtection="1">
      <alignment horizontal="center"/>
      <protection hidden="1"/>
    </xf>
    <xf numFmtId="2" fontId="6" fillId="5" borderId="17" xfId="1" applyNumberFormat="1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/>
      <protection hidden="1"/>
    </xf>
    <xf numFmtId="0" fontId="11" fillId="4" borderId="8" xfId="0" applyFont="1" applyFill="1" applyBorder="1" applyAlignment="1" applyProtection="1">
      <alignment horizontal="center"/>
      <protection hidden="1"/>
    </xf>
    <xf numFmtId="0" fontId="11" fillId="4" borderId="18" xfId="0" applyFont="1" applyFill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 vertical="center"/>
      <protection locked="0"/>
    </xf>
    <xf numFmtId="4" fontId="4" fillId="0" borderId="8" xfId="0" applyNumberFormat="1" applyFont="1" applyBorder="1" applyAlignment="1" applyProtection="1">
      <alignment horizontal="center"/>
      <protection locked="0"/>
    </xf>
    <xf numFmtId="0" fontId="11" fillId="4" borderId="29" xfId="0" applyFont="1" applyFill="1" applyBorder="1" applyAlignment="1" applyProtection="1">
      <alignment horizontal="center"/>
      <protection hidden="1"/>
    </xf>
    <xf numFmtId="0" fontId="11" fillId="4" borderId="14" xfId="0" applyFont="1" applyFill="1" applyBorder="1" applyAlignment="1" applyProtection="1">
      <alignment horizontal="center"/>
      <protection hidden="1"/>
    </xf>
    <xf numFmtId="9" fontId="6" fillId="2" borderId="15" xfId="1" applyFont="1" applyFill="1" applyBorder="1" applyAlignment="1" applyProtection="1">
      <alignment vertical="center"/>
      <protection hidden="1"/>
    </xf>
    <xf numFmtId="9" fontId="4" fillId="0" borderId="8" xfId="1" applyFont="1" applyBorder="1" applyAlignment="1" applyProtection="1">
      <alignment horizontal="center" vertical="center"/>
      <protection locked="0"/>
    </xf>
    <xf numFmtId="10" fontId="4" fillId="0" borderId="8" xfId="1" applyNumberFormat="1" applyFont="1" applyBorder="1" applyAlignment="1" applyProtection="1">
      <alignment horizontal="center" vertical="center"/>
      <protection locked="0"/>
    </xf>
    <xf numFmtId="0" fontId="11" fillId="4" borderId="19" xfId="0" applyFont="1" applyFill="1" applyBorder="1" applyAlignment="1" applyProtection="1">
      <alignment horizontal="center"/>
      <protection hidden="1"/>
    </xf>
    <xf numFmtId="0" fontId="13" fillId="5" borderId="28" xfId="0" applyFont="1" applyFill="1" applyBorder="1" applyAlignment="1" applyProtection="1">
      <alignment horizontal="center" vertical="center"/>
      <protection locked="0"/>
    </xf>
    <xf numFmtId="0" fontId="5" fillId="0" borderId="11" xfId="0" applyFont="1" applyBorder="1" applyProtection="1">
      <protection locked="0"/>
    </xf>
    <xf numFmtId="0" fontId="5" fillId="0" borderId="30" xfId="0" applyFont="1" applyBorder="1" applyProtection="1">
      <protection locked="0"/>
    </xf>
    <xf numFmtId="0" fontId="0" fillId="6" borderId="0" xfId="0" applyFill="1"/>
    <xf numFmtId="0" fontId="12" fillId="4" borderId="10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8" fillId="3" borderId="18" xfId="0" applyFont="1" applyFill="1" applyBorder="1"/>
    <xf numFmtId="14" fontId="4" fillId="0" borderId="40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4" fillId="0" borderId="42" xfId="0" applyFont="1" applyBorder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9" fontId="6" fillId="2" borderId="49" xfId="1" applyFont="1" applyFill="1" applyBorder="1" applyAlignment="1" applyProtection="1">
      <alignment vertical="center"/>
      <protection hidden="1"/>
    </xf>
    <xf numFmtId="0" fontId="4" fillId="0" borderId="9" xfId="0" applyFont="1" applyBorder="1" applyAlignment="1" applyProtection="1">
      <alignment horizontal="center" wrapText="1"/>
      <protection locked="0"/>
    </xf>
    <xf numFmtId="14" fontId="33" fillId="0" borderId="0" xfId="0" applyNumberFormat="1" applyFont="1" applyAlignment="1">
      <alignment vertical="center"/>
    </xf>
    <xf numFmtId="0" fontId="4" fillId="0" borderId="55" xfId="0" applyFont="1" applyBorder="1" applyAlignment="1" applyProtection="1">
      <alignment horizontal="center" vertical="center"/>
      <protection locked="0"/>
    </xf>
    <xf numFmtId="14" fontId="33" fillId="0" borderId="8" xfId="0" applyNumberFormat="1" applyFont="1" applyBorder="1" applyAlignment="1">
      <alignment vertical="center"/>
    </xf>
    <xf numFmtId="14" fontId="4" fillId="2" borderId="8" xfId="0" applyNumberFormat="1" applyFont="1" applyFill="1" applyBorder="1" applyAlignment="1" applyProtection="1">
      <alignment horizontal="center" vertical="center"/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0" fontId="11" fillId="4" borderId="58" xfId="0" applyFont="1" applyFill="1" applyBorder="1" applyAlignment="1" applyProtection="1">
      <alignment horizontal="center"/>
      <protection hidden="1"/>
    </xf>
    <xf numFmtId="0" fontId="11" fillId="4" borderId="40" xfId="0" applyFont="1" applyFill="1" applyBorder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2" borderId="58" xfId="0" applyFont="1" applyFill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2" fontId="6" fillId="5" borderId="59" xfId="1" applyNumberFormat="1" applyFont="1" applyFill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 wrapText="1"/>
      <protection locked="0"/>
    </xf>
    <xf numFmtId="9" fontId="6" fillId="5" borderId="12" xfId="1" applyFont="1" applyFill="1" applyBorder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center" vertical="center"/>
      <protection hidden="1"/>
    </xf>
    <xf numFmtId="0" fontId="18" fillId="4" borderId="12" xfId="0" applyFont="1" applyFill="1" applyBorder="1" applyAlignment="1" applyProtection="1">
      <alignment horizontal="center" vertical="center"/>
      <protection hidden="1"/>
    </xf>
    <xf numFmtId="4" fontId="6" fillId="38" borderId="8" xfId="0" applyNumberFormat="1" applyFont="1" applyFill="1" applyBorder="1" applyAlignment="1" applyProtection="1">
      <alignment horizontal="center"/>
      <protection locked="0"/>
    </xf>
    <xf numFmtId="14" fontId="33" fillId="0" borderId="13" xfId="0" applyNumberFormat="1" applyFont="1" applyBorder="1" applyAlignment="1">
      <alignment vertical="center"/>
    </xf>
    <xf numFmtId="0" fontId="11" fillId="4" borderId="7" xfId="0" applyFont="1" applyFill="1" applyBorder="1" applyAlignment="1" applyProtection="1">
      <alignment horizontal="center"/>
      <protection hidden="1"/>
    </xf>
    <xf numFmtId="0" fontId="13" fillId="5" borderId="62" xfId="0" applyFont="1" applyFill="1" applyBorder="1" applyAlignment="1" applyProtection="1">
      <alignment horizontal="center" vertical="center"/>
      <protection locked="0"/>
    </xf>
    <xf numFmtId="0" fontId="13" fillId="5" borderId="63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/>
      <protection locked="0"/>
    </xf>
    <xf numFmtId="14" fontId="4" fillId="2" borderId="13" xfId="0" applyNumberFormat="1" applyFont="1" applyFill="1" applyBorder="1" applyAlignment="1" applyProtection="1">
      <alignment horizontal="center" vertical="center"/>
      <protection locked="0"/>
    </xf>
    <xf numFmtId="14" fontId="4" fillId="0" borderId="13" xfId="0" applyNumberFormat="1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 wrapText="1"/>
      <protection locked="0"/>
    </xf>
    <xf numFmtId="0" fontId="32" fillId="0" borderId="8" xfId="0" applyFont="1" applyBorder="1" applyAlignment="1" applyProtection="1">
      <alignment horizontal="center" vertical="top"/>
      <protection locked="0"/>
    </xf>
    <xf numFmtId="0" fontId="4" fillId="0" borderId="8" xfId="0" applyFont="1" applyBorder="1" applyAlignment="1" applyProtection="1">
      <alignment horizontal="left" vertical="top"/>
      <protection locked="0"/>
    </xf>
    <xf numFmtId="0" fontId="4" fillId="0" borderId="8" xfId="0" applyFont="1" applyBorder="1" applyAlignment="1" applyProtection="1">
      <alignment horizontal="left" wrapText="1"/>
      <protection locked="0"/>
    </xf>
    <xf numFmtId="0" fontId="0" fillId="0" borderId="8" xfId="0" applyBorder="1" applyProtection="1"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9" fontId="6" fillId="2" borderId="13" xfId="1" applyFont="1" applyFill="1" applyBorder="1" applyAlignment="1" applyProtection="1">
      <alignment vertical="center"/>
      <protection hidden="1"/>
    </xf>
    <xf numFmtId="9" fontId="6" fillId="2" borderId="14" xfId="1" applyFont="1" applyFill="1" applyBorder="1" applyAlignment="1" applyProtection="1">
      <alignment vertical="center"/>
      <protection hidden="1"/>
    </xf>
    <xf numFmtId="9" fontId="6" fillId="2" borderId="17" xfId="1" applyFont="1" applyFill="1" applyBorder="1" applyAlignment="1" applyProtection="1">
      <alignment vertical="center"/>
      <protection hidden="1"/>
    </xf>
    <xf numFmtId="0" fontId="6" fillId="5" borderId="29" xfId="0" applyFont="1" applyFill="1" applyBorder="1" applyAlignment="1" applyProtection="1">
      <alignment horizontal="left" vertical="center"/>
      <protection hidden="1"/>
    </xf>
    <xf numFmtId="0" fontId="6" fillId="5" borderId="14" xfId="0" applyFont="1" applyFill="1" applyBorder="1" applyAlignment="1" applyProtection="1">
      <alignment horizontal="left" vertical="center"/>
      <protection hidden="1"/>
    </xf>
    <xf numFmtId="0" fontId="6" fillId="5" borderId="17" xfId="0" applyFont="1" applyFill="1" applyBorder="1" applyAlignment="1" applyProtection="1">
      <alignment horizontal="left" vertical="center"/>
      <protection hidden="1"/>
    </xf>
    <xf numFmtId="0" fontId="12" fillId="4" borderId="0" xfId="0" applyFont="1" applyFill="1" applyAlignment="1" applyProtection="1">
      <alignment horizontal="center" vertical="center"/>
      <protection hidden="1"/>
    </xf>
    <xf numFmtId="0" fontId="4" fillId="0" borderId="55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6" fillId="4" borderId="13" xfId="0" applyFont="1" applyFill="1" applyBorder="1" applyAlignment="1" applyProtection="1">
      <alignment horizontal="center"/>
      <protection hidden="1"/>
    </xf>
    <xf numFmtId="0" fontId="16" fillId="4" borderId="14" xfId="0" applyFont="1" applyFill="1" applyBorder="1" applyAlignment="1" applyProtection="1">
      <alignment horizontal="center"/>
      <protection hidden="1"/>
    </xf>
    <xf numFmtId="0" fontId="16" fillId="4" borderId="15" xfId="0" applyFont="1" applyFill="1" applyBorder="1" applyAlignment="1" applyProtection="1">
      <alignment horizontal="center"/>
      <protection hidden="1"/>
    </xf>
    <xf numFmtId="0" fontId="18" fillId="4" borderId="29" xfId="0" applyFont="1" applyFill="1" applyBorder="1" applyAlignment="1" applyProtection="1">
      <alignment horizontal="center"/>
      <protection hidden="1"/>
    </xf>
    <xf numFmtId="0" fontId="18" fillId="4" borderId="14" xfId="0" applyFont="1" applyFill="1" applyBorder="1" applyAlignment="1" applyProtection="1">
      <alignment horizontal="center"/>
      <protection hidden="1"/>
    </xf>
    <xf numFmtId="0" fontId="18" fillId="4" borderId="17" xfId="0" applyFont="1" applyFill="1" applyBorder="1" applyAlignment="1" applyProtection="1">
      <alignment horizontal="center"/>
      <protection hidden="1"/>
    </xf>
    <xf numFmtId="0" fontId="18" fillId="4" borderId="13" xfId="0" applyFont="1" applyFill="1" applyBorder="1" applyAlignment="1" applyProtection="1">
      <alignment horizontal="center"/>
      <protection hidden="1"/>
    </xf>
    <xf numFmtId="0" fontId="18" fillId="4" borderId="15" xfId="0" applyFont="1" applyFill="1" applyBorder="1" applyAlignment="1" applyProtection="1">
      <alignment horizontal="center"/>
      <protection hidden="1"/>
    </xf>
    <xf numFmtId="0" fontId="18" fillId="4" borderId="8" xfId="0" applyFont="1" applyFill="1" applyBorder="1" applyAlignment="1" applyProtection="1">
      <alignment horizontal="center" vertical="center"/>
      <protection hidden="1"/>
    </xf>
    <xf numFmtId="0" fontId="18" fillId="4" borderId="12" xfId="0" applyFont="1" applyFill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0" fontId="18" fillId="0" borderId="13" xfId="0" applyFont="1" applyBorder="1" applyAlignment="1" applyProtection="1">
      <alignment horizontal="center" vertical="center"/>
      <protection hidden="1"/>
    </xf>
    <xf numFmtId="0" fontId="18" fillId="4" borderId="14" xfId="0" applyFont="1" applyFill="1" applyBorder="1" applyAlignment="1" applyProtection="1">
      <alignment horizontal="center" vertical="center"/>
      <protection hidden="1"/>
    </xf>
    <xf numFmtId="0" fontId="18" fillId="4" borderId="17" xfId="0" applyFont="1" applyFill="1" applyBorder="1" applyAlignment="1" applyProtection="1">
      <alignment horizontal="center" vertical="center"/>
      <protection hidden="1"/>
    </xf>
    <xf numFmtId="0" fontId="18" fillId="4" borderId="13" xfId="0" applyFont="1" applyFill="1" applyBorder="1" applyAlignment="1" applyProtection="1">
      <alignment horizontal="center" vertical="center"/>
      <protection hidden="1"/>
    </xf>
    <xf numFmtId="2" fontId="6" fillId="0" borderId="55" xfId="1" applyNumberFormat="1" applyFont="1" applyFill="1" applyBorder="1" applyAlignment="1" applyProtection="1">
      <alignment horizontal="center" vertical="center"/>
      <protection hidden="1"/>
    </xf>
    <xf numFmtId="2" fontId="6" fillId="0" borderId="40" xfId="1" applyNumberFormat="1" applyFont="1" applyFill="1" applyBorder="1" applyAlignment="1" applyProtection="1">
      <alignment horizontal="center" vertical="center"/>
      <protection hidden="1"/>
    </xf>
    <xf numFmtId="2" fontId="6" fillId="0" borderId="43" xfId="1" applyNumberFormat="1" applyFont="1" applyFill="1" applyBorder="1" applyAlignment="1" applyProtection="1">
      <alignment horizontal="center" vertical="center"/>
      <protection hidden="1"/>
    </xf>
    <xf numFmtId="2" fontId="6" fillId="0" borderId="56" xfId="1" applyNumberFormat="1" applyFont="1" applyFill="1" applyBorder="1" applyAlignment="1" applyProtection="1">
      <alignment horizontal="center" vertical="center"/>
      <protection hidden="1"/>
    </xf>
    <xf numFmtId="2" fontId="6" fillId="0" borderId="0" xfId="1" applyNumberFormat="1" applyFont="1" applyFill="1" applyBorder="1" applyAlignment="1" applyProtection="1">
      <alignment horizontal="center" vertical="center"/>
      <protection hidden="1"/>
    </xf>
    <xf numFmtId="2" fontId="6" fillId="0" borderId="23" xfId="1" applyNumberFormat="1" applyFont="1" applyFill="1" applyBorder="1" applyAlignment="1" applyProtection="1">
      <alignment horizontal="center" vertical="center"/>
      <protection hidden="1"/>
    </xf>
    <xf numFmtId="2" fontId="6" fillId="0" borderId="61" xfId="1" applyNumberFormat="1" applyFont="1" applyFill="1" applyBorder="1" applyAlignment="1" applyProtection="1">
      <alignment horizontal="center" vertical="center"/>
      <protection hidden="1"/>
    </xf>
    <xf numFmtId="2" fontId="6" fillId="0" borderId="22" xfId="1" applyNumberFormat="1" applyFont="1" applyFill="1" applyBorder="1" applyAlignment="1" applyProtection="1">
      <alignment horizontal="center" vertical="center"/>
      <protection hidden="1"/>
    </xf>
    <xf numFmtId="2" fontId="6" fillId="0" borderId="27" xfId="1" applyNumberFormat="1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 applyProtection="1">
      <alignment horizontal="left" vertical="center"/>
      <protection hidden="1"/>
    </xf>
    <xf numFmtId="0" fontId="18" fillId="4" borderId="6" xfId="0" applyFont="1" applyFill="1" applyBorder="1" applyAlignment="1" applyProtection="1">
      <alignment horizontal="center"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8" fillId="4" borderId="7" xfId="0" applyFont="1" applyFill="1" applyBorder="1" applyAlignment="1" applyProtection="1">
      <alignment horizontal="center" vertical="center"/>
      <protection locked="0"/>
    </xf>
    <xf numFmtId="0" fontId="18" fillId="4" borderId="16" xfId="0" applyFont="1" applyFill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 applyProtection="1">
      <alignment horizontal="left" indent="9"/>
      <protection hidden="1"/>
    </xf>
    <xf numFmtId="0" fontId="11" fillId="4" borderId="14" xfId="0" applyFont="1" applyFill="1" applyBorder="1" applyAlignment="1" applyProtection="1">
      <alignment horizontal="left" indent="9"/>
      <protection hidden="1"/>
    </xf>
    <xf numFmtId="0" fontId="11" fillId="4" borderId="15" xfId="0" applyFont="1" applyFill="1" applyBorder="1" applyAlignment="1" applyProtection="1">
      <alignment horizontal="left" indent="9"/>
      <protection hidden="1"/>
    </xf>
    <xf numFmtId="0" fontId="13" fillId="5" borderId="5" xfId="0" applyFont="1" applyFill="1" applyBorder="1" applyAlignment="1" applyProtection="1">
      <alignment horizontal="center" vertical="center"/>
      <protection locked="0"/>
    </xf>
    <xf numFmtId="0" fontId="13" fillId="5" borderId="20" xfId="0" applyFont="1" applyFill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 applyProtection="1">
      <alignment horizontal="center"/>
      <protection hidden="1"/>
    </xf>
    <xf numFmtId="0" fontId="11" fillId="4" borderId="14" xfId="0" applyFont="1" applyFill="1" applyBorder="1" applyAlignment="1" applyProtection="1">
      <alignment horizontal="center"/>
      <protection hidden="1"/>
    </xf>
    <xf numFmtId="0" fontId="11" fillId="4" borderId="17" xfId="0" applyFont="1" applyFill="1" applyBorder="1" applyAlignment="1" applyProtection="1">
      <alignment horizontal="center"/>
      <protection hidden="1"/>
    </xf>
    <xf numFmtId="0" fontId="17" fillId="4" borderId="6" xfId="0" applyFont="1" applyFill="1" applyBorder="1" applyAlignment="1" applyProtection="1">
      <alignment horizontal="center" vertical="center"/>
      <protection hidden="1"/>
    </xf>
    <xf numFmtId="0" fontId="17" fillId="4" borderId="7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17" fillId="4" borderId="20" xfId="0" applyFont="1" applyFill="1" applyBorder="1" applyAlignment="1" applyProtection="1">
      <alignment horizontal="center" vertical="center"/>
      <protection hidden="1"/>
    </xf>
    <xf numFmtId="0" fontId="17" fillId="4" borderId="0" xfId="0" applyFont="1" applyFill="1" applyAlignment="1" applyProtection="1">
      <alignment horizontal="center" vertical="center"/>
      <protection hidden="1"/>
    </xf>
    <xf numFmtId="0" fontId="17" fillId="4" borderId="23" xfId="0" applyFont="1" applyFill="1" applyBorder="1" applyAlignment="1" applyProtection="1">
      <alignment horizontal="center" vertical="center"/>
      <protection hidden="1"/>
    </xf>
    <xf numFmtId="0" fontId="17" fillId="4" borderId="26" xfId="0" applyFont="1" applyFill="1" applyBorder="1" applyAlignment="1" applyProtection="1">
      <alignment horizontal="center" vertical="center"/>
      <protection hidden="1"/>
    </xf>
    <xf numFmtId="0" fontId="17" fillId="4" borderId="22" xfId="0" applyFont="1" applyFill="1" applyBorder="1" applyAlignment="1" applyProtection="1">
      <alignment horizontal="center" vertical="center"/>
      <protection hidden="1"/>
    </xf>
    <xf numFmtId="0" fontId="17" fillId="4" borderId="27" xfId="0" applyFont="1" applyFill="1" applyBorder="1" applyAlignment="1" applyProtection="1">
      <alignment horizontal="center" vertical="center"/>
      <protection hidden="1"/>
    </xf>
    <xf numFmtId="0" fontId="11" fillId="4" borderId="2" xfId="0" applyFont="1" applyFill="1" applyBorder="1" applyAlignment="1" applyProtection="1">
      <alignment horizontal="center"/>
      <protection hidden="1"/>
    </xf>
    <xf numFmtId="0" fontId="11" fillId="4" borderId="19" xfId="0" applyFont="1" applyFill="1" applyBorder="1" applyAlignment="1" applyProtection="1">
      <alignment horizontal="center"/>
      <protection hidden="1"/>
    </xf>
    <xf numFmtId="0" fontId="11" fillId="4" borderId="21" xfId="0" applyFont="1" applyFill="1" applyBorder="1" applyAlignment="1" applyProtection="1">
      <alignment horizontal="center"/>
      <protection hidden="1"/>
    </xf>
    <xf numFmtId="0" fontId="6" fillId="5" borderId="44" xfId="0" applyFont="1" applyFill="1" applyBorder="1" applyAlignment="1" applyProtection="1">
      <alignment horizontal="left" vertical="center"/>
      <protection hidden="1"/>
    </xf>
    <xf numFmtId="0" fontId="6" fillId="5" borderId="45" xfId="0" applyFont="1" applyFill="1" applyBorder="1" applyAlignment="1" applyProtection="1">
      <alignment horizontal="left" vertical="center"/>
      <protection hidden="1"/>
    </xf>
    <xf numFmtId="0" fontId="6" fillId="5" borderId="46" xfId="0" applyFont="1" applyFill="1" applyBorder="1" applyAlignment="1" applyProtection="1">
      <alignment horizontal="left" vertical="center"/>
      <protection hidden="1"/>
    </xf>
    <xf numFmtId="0" fontId="32" fillId="0" borderId="8" xfId="0" applyFont="1" applyBorder="1" applyAlignment="1" applyProtection="1">
      <alignment horizontal="center" vertical="top"/>
      <protection locked="0"/>
    </xf>
    <xf numFmtId="0" fontId="4" fillId="0" borderId="8" xfId="0" applyFont="1" applyBorder="1" applyAlignment="1" applyProtection="1">
      <alignment horizontal="center" vertical="top"/>
      <protection locked="0"/>
    </xf>
    <xf numFmtId="0" fontId="6" fillId="5" borderId="53" xfId="0" applyFont="1" applyFill="1" applyBorder="1" applyAlignment="1" applyProtection="1">
      <alignment horizontal="left" vertical="center"/>
      <protection hidden="1"/>
    </xf>
    <xf numFmtId="0" fontId="6" fillId="5" borderId="48" xfId="0" applyFont="1" applyFill="1" applyBorder="1" applyAlignment="1" applyProtection="1">
      <alignment horizontal="left" vertical="center"/>
      <protection hidden="1"/>
    </xf>
    <xf numFmtId="0" fontId="6" fillId="5" borderId="54" xfId="0" applyFont="1" applyFill="1" applyBorder="1" applyAlignment="1" applyProtection="1">
      <alignment horizontal="left" vertical="center"/>
      <protection hidden="1"/>
    </xf>
    <xf numFmtId="0" fontId="18" fillId="4" borderId="50" xfId="0" applyFont="1" applyFill="1" applyBorder="1" applyAlignment="1" applyProtection="1">
      <alignment horizontal="center" vertical="center"/>
      <protection locked="0"/>
    </xf>
    <xf numFmtId="0" fontId="18" fillId="4" borderId="22" xfId="0" applyFont="1" applyFill="1" applyBorder="1" applyAlignment="1" applyProtection="1">
      <alignment horizontal="center" vertical="center"/>
      <protection locked="0"/>
    </xf>
    <xf numFmtId="0" fontId="18" fillId="4" borderId="51" xfId="0" applyFont="1" applyFill="1" applyBorder="1" applyAlignment="1" applyProtection="1">
      <alignment horizontal="center" vertical="center"/>
      <protection locked="0"/>
    </xf>
    <xf numFmtId="0" fontId="18" fillId="4" borderId="52" xfId="0" applyFont="1" applyFill="1" applyBorder="1" applyAlignment="1" applyProtection="1">
      <alignment horizontal="center" vertical="center"/>
      <protection locked="0"/>
    </xf>
    <xf numFmtId="0" fontId="6" fillId="5" borderId="29" xfId="0" applyFont="1" applyFill="1" applyBorder="1" applyAlignment="1" applyProtection="1">
      <alignment horizontal="center" vertical="center"/>
      <protection hidden="1"/>
    </xf>
    <xf numFmtId="0" fontId="6" fillId="5" borderId="14" xfId="0" applyFont="1" applyFill="1" applyBorder="1" applyAlignment="1" applyProtection="1">
      <alignment horizontal="center" vertical="center"/>
      <protection hidden="1"/>
    </xf>
    <xf numFmtId="0" fontId="6" fillId="5" borderId="17" xfId="0" applyFont="1" applyFill="1" applyBorder="1" applyAlignment="1" applyProtection="1">
      <alignment horizontal="center" vertical="center"/>
      <protection hidden="1"/>
    </xf>
    <xf numFmtId="9" fontId="6" fillId="2" borderId="13" xfId="1" applyFont="1" applyFill="1" applyBorder="1" applyAlignment="1" applyProtection="1">
      <alignment horizontal="center" vertical="center"/>
      <protection hidden="1"/>
    </xf>
    <xf numFmtId="9" fontId="6" fillId="2" borderId="14" xfId="1" applyFont="1" applyFill="1" applyBorder="1" applyAlignment="1" applyProtection="1">
      <alignment horizontal="center" vertical="center"/>
      <protection hidden="1"/>
    </xf>
    <xf numFmtId="9" fontId="6" fillId="2" borderId="17" xfId="1" applyFont="1" applyFill="1" applyBorder="1" applyAlignment="1" applyProtection="1">
      <alignment horizontal="center" vertical="center"/>
      <protection hidden="1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8" fillId="4" borderId="3" xfId="0" applyFont="1" applyFill="1" applyBorder="1" applyAlignment="1" applyProtection="1">
      <alignment horizontal="center" vertical="center"/>
      <protection locked="0"/>
    </xf>
    <xf numFmtId="0" fontId="18" fillId="4" borderId="4" xfId="0" applyFont="1" applyFill="1" applyBorder="1" applyAlignment="1" applyProtection="1">
      <alignment horizontal="center" vertical="center"/>
      <protection locked="0"/>
    </xf>
    <xf numFmtId="0" fontId="12" fillId="4" borderId="13" xfId="0" applyFont="1" applyFill="1" applyBorder="1" applyAlignment="1" applyProtection="1">
      <alignment horizontal="center"/>
      <protection locked="0"/>
    </xf>
    <xf numFmtId="0" fontId="12" fillId="4" borderId="14" xfId="0" applyFont="1" applyFill="1" applyBorder="1" applyAlignment="1" applyProtection="1">
      <alignment horizontal="center"/>
      <protection locked="0"/>
    </xf>
    <xf numFmtId="0" fontId="12" fillId="4" borderId="15" xfId="0" applyFont="1" applyFill="1" applyBorder="1" applyAlignment="1" applyProtection="1">
      <alignment horizontal="center"/>
      <protection locked="0"/>
    </xf>
    <xf numFmtId="0" fontId="12" fillId="4" borderId="29" xfId="0" applyFont="1" applyFill="1" applyBorder="1" applyAlignment="1" applyProtection="1">
      <alignment horizontal="center"/>
      <protection locked="0"/>
    </xf>
    <xf numFmtId="0" fontId="12" fillId="4" borderId="17" xfId="0" applyFont="1" applyFill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5" fillId="0" borderId="15" xfId="0" applyFont="1" applyBorder="1" applyAlignment="1" applyProtection="1">
      <alignment horizontal="center"/>
      <protection locked="0"/>
    </xf>
    <xf numFmtId="0" fontId="5" fillId="0" borderId="29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left"/>
      <protection locked="0"/>
    </xf>
    <xf numFmtId="0" fontId="5" fillId="0" borderId="15" xfId="0" applyFont="1" applyBorder="1" applyAlignment="1" applyProtection="1">
      <alignment horizontal="left"/>
      <protection locked="0"/>
    </xf>
    <xf numFmtId="9" fontId="6" fillId="2" borderId="47" xfId="1" applyFont="1" applyFill="1" applyBorder="1" applyAlignment="1" applyProtection="1">
      <alignment horizontal="center" vertical="center"/>
      <protection hidden="1"/>
    </xf>
    <xf numFmtId="9" fontId="6" fillId="2" borderId="48" xfId="1" applyFont="1" applyFill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left" vertical="top"/>
      <protection locked="0"/>
    </xf>
    <xf numFmtId="0" fontId="4" fillId="0" borderId="14" xfId="0" applyFont="1" applyBorder="1" applyAlignment="1" applyProtection="1">
      <alignment horizontal="left" vertical="top"/>
      <protection locked="0"/>
    </xf>
    <xf numFmtId="0" fontId="4" fillId="0" borderId="15" xfId="0" applyFont="1" applyBorder="1" applyAlignment="1" applyProtection="1">
      <alignment horizontal="left" vertical="top"/>
      <protection locked="0"/>
    </xf>
    <xf numFmtId="0" fontId="6" fillId="5" borderId="8" xfId="0" applyFont="1" applyFill="1" applyBorder="1" applyAlignment="1" applyProtection="1">
      <alignment horizontal="center" vertical="center"/>
      <protection hidden="1"/>
    </xf>
    <xf numFmtId="0" fontId="11" fillId="4" borderId="15" xfId="0" applyFont="1" applyFill="1" applyBorder="1" applyAlignment="1" applyProtection="1">
      <alignment horizontal="center"/>
      <protection hidden="1"/>
    </xf>
    <xf numFmtId="0" fontId="11" fillId="4" borderId="18" xfId="0" applyFont="1" applyFill="1" applyBorder="1" applyAlignment="1" applyProtection="1">
      <alignment horizontal="center"/>
      <protection hidden="1"/>
    </xf>
    <xf numFmtId="0" fontId="18" fillId="4" borderId="24" xfId="0" applyFont="1" applyFill="1" applyBorder="1" applyAlignment="1" applyProtection="1">
      <alignment horizontal="center"/>
      <protection hidden="1"/>
    </xf>
    <xf numFmtId="0" fontId="18" fillId="4" borderId="19" xfId="0" applyFont="1" applyFill="1" applyBorder="1" applyAlignment="1" applyProtection="1">
      <alignment horizontal="center"/>
      <protection hidden="1"/>
    </xf>
    <xf numFmtId="0" fontId="18" fillId="4" borderId="25" xfId="0" applyFont="1" applyFill="1" applyBorder="1" applyAlignment="1" applyProtection="1">
      <alignment horizontal="center"/>
      <protection hidden="1"/>
    </xf>
    <xf numFmtId="0" fontId="11" fillId="4" borderId="8" xfId="0" applyFont="1" applyFill="1" applyBorder="1" applyAlignment="1" applyProtection="1">
      <alignment horizontal="center"/>
      <protection hidden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1006415</xdr:colOff>
      <xdr:row>1</xdr:row>
      <xdr:rowOff>33211</xdr:rowOff>
    </xdr:from>
    <xdr:ext cx="2300378" cy="439229"/>
    <xdr:pic>
      <xdr:nvPicPr>
        <xdr:cNvPr id="2" name="Imagem 1">
          <a:extLst>
            <a:ext uri="{FF2B5EF4-FFF2-40B4-BE49-F238E27FC236}">
              <a16:creationId xmlns:a16="http://schemas.microsoft.com/office/drawing/2014/main" id="{7ADC938E-2C75-49BC-AC2E-FFCA983A3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8935" y="170371"/>
          <a:ext cx="2300378" cy="439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A980-1FAA-49E0-B2A0-8D3BA0080934}">
  <sheetPr>
    <pageSetUpPr fitToPage="1"/>
  </sheetPr>
  <dimension ref="A1:S143"/>
  <sheetViews>
    <sheetView showGridLines="0" tabSelected="1" topLeftCell="A4" zoomScaleNormal="100" workbookViewId="0">
      <selection activeCell="J26" sqref="J26"/>
    </sheetView>
  </sheetViews>
  <sheetFormatPr defaultColWidth="9.109375" defaultRowHeight="14.4" zeroHeight="1" x14ac:dyDescent="0.3"/>
  <cols>
    <col min="1" max="1" width="2.109375" style="1" customWidth="1"/>
    <col min="2" max="2" width="27.88671875" style="1" customWidth="1"/>
    <col min="3" max="3" width="12.6640625" style="1" customWidth="1"/>
    <col min="4" max="4" width="8.88671875" style="1" customWidth="1"/>
    <col min="5" max="6" width="9.109375" style="1" customWidth="1"/>
    <col min="7" max="7" width="6.88671875" style="1" customWidth="1"/>
    <col min="8" max="8" width="13.88671875" style="1" customWidth="1"/>
    <col min="9" max="9" width="22.88671875" style="1" bestFit="1" customWidth="1"/>
    <col min="10" max="10" width="20.33203125" style="1" bestFit="1" customWidth="1"/>
    <col min="11" max="11" width="8.44140625" style="1" customWidth="1"/>
    <col min="12" max="12" width="23.5546875" style="1" bestFit="1" customWidth="1"/>
    <col min="13" max="13" width="17.109375" style="1" customWidth="1"/>
    <col min="14" max="14" width="54.33203125" style="1" customWidth="1"/>
    <col min="15" max="15" width="15" style="1" hidden="1" customWidth="1"/>
    <col min="16" max="16" width="26.33203125" style="1" hidden="1" customWidth="1"/>
    <col min="17" max="17" width="0.6640625" style="17" hidden="1" customWidth="1"/>
    <col min="18" max="18" width="23.5546875" style="1" customWidth="1"/>
    <col min="19" max="19" width="13.88671875" style="1" customWidth="1"/>
    <col min="20" max="20" width="9.109375" style="1" customWidth="1"/>
    <col min="21" max="21" width="10.6640625" style="1" customWidth="1"/>
    <col min="22" max="22" width="9.109375" style="1" customWidth="1"/>
    <col min="23" max="16384" width="9.109375" style="1"/>
  </cols>
  <sheetData>
    <row r="1" spans="1:19" ht="11.25" customHeight="1" thickBot="1" x14ac:dyDescent="0.35">
      <c r="A1" s="85" t="s">
        <v>0</v>
      </c>
      <c r="B1" s="85"/>
    </row>
    <row r="2" spans="1:19" ht="17.25" customHeight="1" x14ac:dyDescent="0.3">
      <c r="A2" s="85"/>
      <c r="B2" s="85"/>
      <c r="C2" s="130" t="s">
        <v>40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2"/>
      <c r="P2" s="17" t="s">
        <v>3</v>
      </c>
      <c r="Q2" s="18" t="s">
        <v>31</v>
      </c>
      <c r="R2" s="17"/>
    </row>
    <row r="3" spans="1:19" ht="12" customHeight="1" x14ac:dyDescent="0.3">
      <c r="B3" s="125" t="s">
        <v>31</v>
      </c>
      <c r="C3" s="133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3"/>
      <c r="P3" s="17" t="s">
        <v>4</v>
      </c>
      <c r="Q3" s="18" t="s">
        <v>32</v>
      </c>
      <c r="R3" s="17"/>
    </row>
    <row r="4" spans="1:19" ht="12" customHeight="1" thickBot="1" x14ac:dyDescent="0.35">
      <c r="B4" s="126"/>
      <c r="C4" s="136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8"/>
      <c r="O4" s="3"/>
      <c r="P4" s="17" t="s">
        <v>11</v>
      </c>
      <c r="Q4" s="18" t="s">
        <v>33</v>
      </c>
      <c r="R4" s="17"/>
    </row>
    <row r="5" spans="1:19" ht="15" thickBot="1" x14ac:dyDescent="0.35">
      <c r="B5" s="20" t="s">
        <v>5</v>
      </c>
      <c r="C5" s="35" t="s">
        <v>2</v>
      </c>
      <c r="D5" s="66" t="s">
        <v>1</v>
      </c>
      <c r="E5" s="139" t="s">
        <v>6</v>
      </c>
      <c r="F5" s="140"/>
      <c r="G5" s="140"/>
      <c r="H5" s="141"/>
      <c r="I5" s="21" t="s">
        <v>35</v>
      </c>
      <c r="J5" s="22" t="s">
        <v>36</v>
      </c>
      <c r="K5" s="13" t="s">
        <v>7</v>
      </c>
      <c r="L5" s="23" t="s">
        <v>38</v>
      </c>
      <c r="M5" s="14" t="s">
        <v>8</v>
      </c>
      <c r="N5" s="15" t="s">
        <v>9</v>
      </c>
      <c r="O5" s="2" t="s">
        <v>10</v>
      </c>
      <c r="P5" s="17"/>
      <c r="Q5" s="18"/>
      <c r="R5" s="17"/>
    </row>
    <row r="6" spans="1:19" s="5" customFormat="1" ht="17.25" customHeight="1" x14ac:dyDescent="0.3">
      <c r="B6" s="46" t="s">
        <v>99</v>
      </c>
      <c r="C6" s="49">
        <v>46314</v>
      </c>
      <c r="D6" s="67" t="s">
        <v>11</v>
      </c>
      <c r="E6" s="82" t="str">
        <f>IFERROR(VLOOKUP(B6,'base itens'!A:B,2,0),"")</f>
        <v>PAO FRANCES 6 H (G) PCT C/ 7,5 KG    </v>
      </c>
      <c r="F6" s="83"/>
      <c r="G6" s="83"/>
      <c r="H6" s="84"/>
      <c r="I6" s="7">
        <v>66</v>
      </c>
      <c r="J6" s="12">
        <v>86</v>
      </c>
      <c r="K6" s="16">
        <f>J6/I6</f>
        <v>1.303030303030303</v>
      </c>
      <c r="L6" s="64">
        <v>4650</v>
      </c>
      <c r="M6" s="73">
        <v>14632901001</v>
      </c>
      <c r="N6" s="145"/>
      <c r="O6" s="146"/>
      <c r="P6" s="146"/>
      <c r="Q6" s="146"/>
      <c r="R6" s="17"/>
      <c r="S6" s="1"/>
    </row>
    <row r="7" spans="1:19" s="5" customFormat="1" ht="16.5" customHeight="1" x14ac:dyDescent="0.3">
      <c r="B7" s="6" t="s">
        <v>24</v>
      </c>
      <c r="C7" s="49">
        <v>46314</v>
      </c>
      <c r="D7" s="36" t="s">
        <v>3</v>
      </c>
      <c r="E7" s="82" t="str">
        <f>IFERROR(VLOOKUP(B7,'base itens'!A:B,2,0),"")</f>
        <v>PAO FRANCES 6 H PCT C/ 7,5 KG</v>
      </c>
      <c r="F7" s="83"/>
      <c r="G7" s="83"/>
      <c r="H7" s="84"/>
      <c r="I7" s="7">
        <v>86</v>
      </c>
      <c r="J7" s="12">
        <v>87</v>
      </c>
      <c r="K7" s="16">
        <f>J7/I7</f>
        <v>1.0116279069767442</v>
      </c>
      <c r="L7" s="64">
        <v>5400</v>
      </c>
      <c r="M7" s="73">
        <v>14632601001</v>
      </c>
      <c r="N7" s="145"/>
      <c r="O7" s="146"/>
      <c r="P7" s="146"/>
      <c r="Q7" s="146"/>
      <c r="R7" s="1"/>
      <c r="S7" s="1"/>
    </row>
    <row r="8" spans="1:19" s="5" customFormat="1" ht="16.5" customHeight="1" x14ac:dyDescent="0.3">
      <c r="B8" s="6" t="s">
        <v>24</v>
      </c>
      <c r="C8" s="49">
        <v>46314</v>
      </c>
      <c r="D8" s="36" t="s">
        <v>4</v>
      </c>
      <c r="E8" s="82" t="str">
        <f>IFERROR(VLOOKUP(B8,'base itens'!A:B,2,0),"")</f>
        <v>PAO FRANCES 6 H PCT C/ 7,5 KG</v>
      </c>
      <c r="F8" s="83"/>
      <c r="G8" s="83"/>
      <c r="H8" s="84"/>
      <c r="I8" s="11">
        <v>13</v>
      </c>
      <c r="J8" s="12">
        <v>24</v>
      </c>
      <c r="K8" s="16">
        <f>J8/I8</f>
        <v>1.8461538461538463</v>
      </c>
      <c r="L8" s="64">
        <v>780</v>
      </c>
      <c r="M8" s="73">
        <v>14632801001</v>
      </c>
      <c r="N8" s="74"/>
      <c r="O8" s="75"/>
      <c r="P8" s="75"/>
      <c r="Q8" s="75"/>
      <c r="R8" s="1"/>
      <c r="S8" s="1"/>
    </row>
    <row r="9" spans="1:19" s="5" customFormat="1" ht="16.5" customHeight="1" x14ac:dyDescent="0.3">
      <c r="B9" s="6" t="s">
        <v>99</v>
      </c>
      <c r="C9" s="49">
        <v>46314</v>
      </c>
      <c r="D9" s="36" t="s">
        <v>4</v>
      </c>
      <c r="E9" s="82" t="str">
        <f>IFERROR(VLOOKUP(B9,'base itens'!A:B,2,0),"")</f>
        <v>PAO FRANCES 6 H (G) PCT C/ 7,5 KG    </v>
      </c>
      <c r="F9" s="83"/>
      <c r="G9" s="83"/>
      <c r="H9" s="84"/>
      <c r="I9" s="7">
        <v>61</v>
      </c>
      <c r="J9" s="7">
        <v>48</v>
      </c>
      <c r="K9" s="16">
        <f>J9/I9</f>
        <v>0.78688524590163933</v>
      </c>
      <c r="L9" s="24">
        <v>3720</v>
      </c>
      <c r="M9" s="56">
        <v>14632701001</v>
      </c>
      <c r="N9" s="76" t="s">
        <v>148</v>
      </c>
      <c r="O9" s="77"/>
      <c r="P9" s="77"/>
      <c r="Q9" s="78"/>
      <c r="R9" s="1"/>
      <c r="S9" s="1"/>
    </row>
    <row r="10" spans="1:19" s="5" customFormat="1" ht="16.5" customHeight="1" x14ac:dyDescent="0.3">
      <c r="B10" s="6"/>
      <c r="C10" s="65"/>
      <c r="D10" s="36"/>
      <c r="E10" s="82" t="str">
        <f>IFERROR(VLOOKUP(B10,'base itens'!A:B,2,0),"")</f>
        <v/>
      </c>
      <c r="F10" s="83"/>
      <c r="G10" s="83"/>
      <c r="H10" s="84"/>
      <c r="I10" s="7"/>
      <c r="J10" s="7"/>
      <c r="K10" s="16" t="e">
        <f>J10/I10</f>
        <v>#DIV/0!</v>
      </c>
      <c r="L10" s="24"/>
      <c r="M10" s="56"/>
      <c r="N10" s="76"/>
      <c r="O10" s="77"/>
      <c r="P10" s="77"/>
      <c r="Q10" s="78"/>
      <c r="R10" s="1"/>
      <c r="S10" s="1"/>
    </row>
    <row r="11" spans="1:19" s="5" customFormat="1" ht="16.5" customHeight="1" thickBot="1" x14ac:dyDescent="0.35">
      <c r="B11" s="57"/>
      <c r="C11" s="65"/>
      <c r="D11" s="68"/>
      <c r="E11" s="82" t="str">
        <f>IFERROR(VLOOKUP(B11,'base itens'!A:B,2,0),"")</f>
        <v/>
      </c>
      <c r="F11" s="83"/>
      <c r="G11" s="83"/>
      <c r="H11" s="84"/>
      <c r="I11" s="58"/>
      <c r="J11" s="58"/>
      <c r="K11" s="16" t="e">
        <f t="shared" ref="K11" si="0">J11/I11</f>
        <v>#DIV/0!</v>
      </c>
      <c r="L11" s="59"/>
      <c r="M11" s="50"/>
      <c r="N11" s="76"/>
      <c r="O11" s="77"/>
      <c r="P11" s="77"/>
      <c r="Q11" s="78"/>
      <c r="R11" s="1"/>
      <c r="S11" s="1"/>
    </row>
    <row r="12" spans="1:19" s="5" customFormat="1" ht="16.5" customHeight="1" x14ac:dyDescent="0.3">
      <c r="B12" s="98" t="s">
        <v>150</v>
      </c>
      <c r="C12" s="98"/>
      <c r="D12" s="99"/>
      <c r="E12" s="98"/>
      <c r="F12" s="98"/>
      <c r="G12" s="98"/>
      <c r="H12" s="98"/>
      <c r="I12" s="98"/>
      <c r="J12" s="98"/>
      <c r="K12" s="98"/>
      <c r="L12" s="98"/>
      <c r="M12" s="98"/>
      <c r="N12" s="99"/>
      <c r="O12" s="99"/>
      <c r="P12" s="1"/>
      <c r="Q12" s="18"/>
      <c r="R12" s="1"/>
      <c r="S12" s="1"/>
    </row>
    <row r="13" spans="1:19" s="5" customFormat="1" ht="16.5" customHeight="1" thickBot="1" x14ac:dyDescent="0.35">
      <c r="B13" s="100"/>
      <c r="C13" s="103"/>
      <c r="D13" s="62" t="s">
        <v>1</v>
      </c>
      <c r="E13" s="105" t="s">
        <v>6</v>
      </c>
      <c r="F13" s="105"/>
      <c r="G13" s="105"/>
      <c r="H13" s="106"/>
      <c r="I13" s="63" t="s">
        <v>151</v>
      </c>
      <c r="J13" s="63" t="s">
        <v>152</v>
      </c>
      <c r="K13" s="107"/>
      <c r="L13" s="105"/>
      <c r="M13" s="105"/>
      <c r="N13" s="105"/>
      <c r="O13" s="62"/>
      <c r="P13" s="1"/>
      <c r="Q13" s="18"/>
      <c r="R13" s="1"/>
      <c r="S13" s="1"/>
    </row>
    <row r="14" spans="1:19" s="5" customFormat="1" ht="16.5" customHeight="1" x14ac:dyDescent="0.3">
      <c r="B14" s="101"/>
      <c r="C14" s="104"/>
      <c r="D14" s="67" t="s">
        <v>3</v>
      </c>
      <c r="E14" s="142" t="s">
        <v>104</v>
      </c>
      <c r="F14" s="143"/>
      <c r="G14" s="143"/>
      <c r="H14" s="144"/>
      <c r="I14" s="60">
        <v>285</v>
      </c>
      <c r="J14" s="12"/>
      <c r="K14" s="61" t="s">
        <v>153</v>
      </c>
      <c r="L14" s="108"/>
      <c r="M14" s="109"/>
      <c r="N14" s="110"/>
      <c r="O14" s="1"/>
      <c r="P14" s="1"/>
      <c r="Q14" s="18"/>
      <c r="R14" s="1"/>
      <c r="S14" s="1"/>
    </row>
    <row r="15" spans="1:19" s="5" customFormat="1" ht="16.5" customHeight="1" x14ac:dyDescent="0.3">
      <c r="B15" s="101"/>
      <c r="C15" s="104"/>
      <c r="D15" s="36" t="s">
        <v>4</v>
      </c>
      <c r="E15" s="117" t="s">
        <v>104</v>
      </c>
      <c r="F15" s="117"/>
      <c r="G15" s="117"/>
      <c r="H15" s="117"/>
      <c r="I15" s="7">
        <v>168</v>
      </c>
      <c r="J15" s="7"/>
      <c r="K15" s="61" t="s">
        <v>153</v>
      </c>
      <c r="L15" s="111"/>
      <c r="M15" s="112"/>
      <c r="N15" s="113"/>
      <c r="O15" s="1"/>
      <c r="P15" s="1"/>
      <c r="Q15" s="18"/>
      <c r="R15" s="1"/>
      <c r="S15" s="1"/>
    </row>
    <row r="16" spans="1:19" s="5" customFormat="1" ht="20.25" customHeight="1" thickBot="1" x14ac:dyDescent="0.35">
      <c r="B16" s="102"/>
      <c r="C16" s="104"/>
      <c r="D16" s="68" t="s">
        <v>11</v>
      </c>
      <c r="E16" s="117" t="s">
        <v>104</v>
      </c>
      <c r="F16" s="117"/>
      <c r="G16" s="117"/>
      <c r="H16" s="117"/>
      <c r="I16" s="7">
        <v>282</v>
      </c>
      <c r="J16" s="7"/>
      <c r="K16" s="61" t="s">
        <v>153</v>
      </c>
      <c r="L16" s="114"/>
      <c r="M16" s="115"/>
      <c r="N16" s="116"/>
      <c r="O16" s="1"/>
      <c r="P16" s="1"/>
      <c r="Q16" s="18"/>
      <c r="R16" s="1"/>
      <c r="S16" s="1"/>
    </row>
    <row r="17" spans="2:19" s="5" customFormat="1" ht="16.5" customHeight="1" x14ac:dyDescent="0.3">
      <c r="B17" s="118" t="s">
        <v>39</v>
      </c>
      <c r="C17" s="119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1"/>
      <c r="O17" s="1"/>
      <c r="P17" s="1"/>
      <c r="Q17" s="18"/>
      <c r="R17" s="1"/>
      <c r="S17" s="1"/>
    </row>
    <row r="18" spans="2:19" s="5" customFormat="1" ht="15" thickBot="1" x14ac:dyDescent="0.35">
      <c r="B18" s="30" t="s">
        <v>5</v>
      </c>
      <c r="C18" s="31"/>
      <c r="D18" s="55" t="s">
        <v>1</v>
      </c>
      <c r="E18" s="127" t="s">
        <v>6</v>
      </c>
      <c r="F18" s="128"/>
      <c r="G18" s="128"/>
      <c r="H18" s="129"/>
      <c r="I18" s="31" t="s">
        <v>41</v>
      </c>
      <c r="J18" s="26" t="s">
        <v>7</v>
      </c>
      <c r="K18" s="122" t="s">
        <v>42</v>
      </c>
      <c r="L18" s="123"/>
      <c r="M18" s="123"/>
      <c r="N18" s="124"/>
      <c r="O18" s="1"/>
      <c r="P18" s="1"/>
      <c r="Q18" s="18"/>
      <c r="R18" s="1"/>
      <c r="S18" s="1"/>
    </row>
    <row r="19" spans="2:19" s="5" customFormat="1" ht="16.5" customHeight="1" x14ac:dyDescent="0.3">
      <c r="B19" s="46" t="s">
        <v>99</v>
      </c>
      <c r="C19" s="49">
        <v>46314</v>
      </c>
      <c r="D19" s="67" t="s">
        <v>11</v>
      </c>
      <c r="E19" s="82" t="str">
        <f>IFERROR(VLOOKUP(B19,'base itens'!A:B,2,0),"")</f>
        <v>PAO FRANCES 6 H (G) PCT C/ 7,5 KG    </v>
      </c>
      <c r="F19" s="83"/>
      <c r="G19" s="83"/>
      <c r="H19" s="84"/>
      <c r="I19" s="41">
        <v>86</v>
      </c>
      <c r="J19" s="34">
        <v>0.52300000000000002</v>
      </c>
      <c r="K19" s="157" t="s">
        <v>142</v>
      </c>
      <c r="L19" s="158"/>
      <c r="M19" s="159"/>
      <c r="N19" s="79"/>
      <c r="O19" s="80"/>
      <c r="P19" s="81"/>
      <c r="Q19" s="18"/>
      <c r="R19" s="1"/>
      <c r="S19" s="1"/>
    </row>
    <row r="20" spans="2:19" s="5" customFormat="1" ht="16.5" customHeight="1" x14ac:dyDescent="0.3">
      <c r="B20" s="6" t="s">
        <v>24</v>
      </c>
      <c r="C20" s="49">
        <v>46314</v>
      </c>
      <c r="D20" s="36" t="s">
        <v>3</v>
      </c>
      <c r="E20" s="82" t="str">
        <f>IFERROR(VLOOKUP(B20,'base itens'!A:B,2,0),"")</f>
        <v>PAO FRANCES 6 H PCT C/ 7,5 KG</v>
      </c>
      <c r="F20" s="83"/>
      <c r="G20" s="83"/>
      <c r="H20" s="84"/>
      <c r="I20" s="41">
        <v>87</v>
      </c>
      <c r="J20" s="34">
        <v>0.52700000000000002</v>
      </c>
      <c r="K20" s="157" t="s">
        <v>142</v>
      </c>
      <c r="L20" s="158"/>
      <c r="M20" s="158"/>
      <c r="N20" s="32"/>
      <c r="O20" s="1"/>
      <c r="P20" s="1"/>
      <c r="Q20" s="18"/>
      <c r="R20" s="1"/>
      <c r="S20" s="1"/>
    </row>
    <row r="21" spans="2:19" s="5" customFormat="1" ht="16.5" customHeight="1" x14ac:dyDescent="0.3">
      <c r="B21" s="6" t="s">
        <v>24</v>
      </c>
      <c r="C21" s="49">
        <v>46314</v>
      </c>
      <c r="D21" s="36" t="s">
        <v>4</v>
      </c>
      <c r="E21" s="82" t="str">
        <f>IFERROR(VLOOKUP(B21,'base itens'!A:B,2,0),"")</f>
        <v>PAO FRANCES 6 H PCT C/ 7,5 KG</v>
      </c>
      <c r="F21" s="83"/>
      <c r="G21" s="83"/>
      <c r="H21" s="84"/>
      <c r="I21" s="41">
        <v>24</v>
      </c>
      <c r="J21" s="34">
        <v>0.52700000000000002</v>
      </c>
      <c r="K21" s="157" t="s">
        <v>142</v>
      </c>
      <c r="L21" s="158"/>
      <c r="M21" s="158"/>
      <c r="N21" s="32"/>
      <c r="O21" s="1"/>
      <c r="P21" s="1"/>
      <c r="Q21" s="18"/>
      <c r="R21" s="1"/>
      <c r="S21" s="1"/>
    </row>
    <row r="22" spans="2:19" s="5" customFormat="1" ht="16.5" customHeight="1" x14ac:dyDescent="0.3">
      <c r="B22" s="6" t="s">
        <v>99</v>
      </c>
      <c r="C22" s="49">
        <v>46314</v>
      </c>
      <c r="D22" s="36" t="s">
        <v>4</v>
      </c>
      <c r="E22" s="82" t="str">
        <f>IFERROR(VLOOKUP(B22,'base itens'!A:B,2,0),"")</f>
        <v>PAO FRANCES 6 H (G) PCT C/ 7,5 KG    </v>
      </c>
      <c r="F22" s="83"/>
      <c r="G22" s="83"/>
      <c r="H22" s="84"/>
      <c r="I22" s="41">
        <v>48</v>
      </c>
      <c r="J22" s="34">
        <v>0.52700000000000002</v>
      </c>
      <c r="K22" s="157" t="s">
        <v>142</v>
      </c>
      <c r="L22" s="158"/>
      <c r="M22" s="158"/>
      <c r="N22" s="32"/>
      <c r="O22" s="1"/>
      <c r="P22" s="1"/>
      <c r="Q22" s="18"/>
      <c r="R22" s="1"/>
      <c r="S22" s="1"/>
    </row>
    <row r="23" spans="2:19" s="5" customFormat="1" ht="16.5" customHeight="1" x14ac:dyDescent="0.3">
      <c r="B23" s="6"/>
      <c r="C23" s="49"/>
      <c r="D23" s="36"/>
      <c r="E23" s="82"/>
      <c r="F23" s="83"/>
      <c r="G23" s="83"/>
      <c r="H23" s="84"/>
      <c r="I23" s="41"/>
      <c r="J23" s="34"/>
      <c r="K23" s="157"/>
      <c r="L23" s="158"/>
      <c r="M23" s="158"/>
      <c r="N23" s="32"/>
      <c r="O23" s="1"/>
      <c r="P23" s="1"/>
      <c r="Q23" s="18"/>
      <c r="R23" s="1"/>
      <c r="S23" s="1"/>
    </row>
    <row r="24" spans="2:19" s="5" customFormat="1" ht="16.5" customHeight="1" x14ac:dyDescent="0.3">
      <c r="B24" s="69"/>
      <c r="C24" s="71"/>
      <c r="D24" s="36"/>
      <c r="E24" s="82" t="str">
        <f>IFERROR(VLOOKUP(B24,'base itens'!A:B,2,0),"")</f>
        <v/>
      </c>
      <c r="F24" s="83"/>
      <c r="G24" s="83"/>
      <c r="H24" s="84"/>
      <c r="I24" s="41"/>
      <c r="J24" s="34"/>
      <c r="K24" s="157"/>
      <c r="L24" s="158"/>
      <c r="M24" s="158"/>
      <c r="N24" s="32"/>
      <c r="O24" s="1"/>
      <c r="P24" s="1"/>
      <c r="Q24" s="18"/>
      <c r="R24" s="1"/>
      <c r="S24" s="1"/>
    </row>
    <row r="25" spans="2:19" s="5" customFormat="1" ht="16.5" customHeight="1" x14ac:dyDescent="0.3">
      <c r="B25" s="69"/>
      <c r="C25" s="71"/>
      <c r="D25" s="36"/>
      <c r="E25" s="154"/>
      <c r="F25" s="155"/>
      <c r="G25" s="155"/>
      <c r="H25" s="156"/>
      <c r="I25" s="43"/>
      <c r="J25" s="34"/>
      <c r="K25" s="157"/>
      <c r="L25" s="158"/>
      <c r="M25" s="158"/>
      <c r="N25" s="32"/>
      <c r="O25" s="1"/>
      <c r="P25" s="1"/>
      <c r="Q25" s="18"/>
      <c r="R25" s="1"/>
      <c r="S25" s="1"/>
    </row>
    <row r="26" spans="2:19" ht="16.5" customHeight="1" thickBot="1" x14ac:dyDescent="0.35">
      <c r="B26" s="70" t="str">
        <f>IF(B15&gt;0,B15,"")</f>
        <v/>
      </c>
      <c r="C26" s="72"/>
      <c r="D26" s="68"/>
      <c r="E26" s="147"/>
      <c r="F26" s="148"/>
      <c r="G26" s="148"/>
      <c r="H26" s="149"/>
      <c r="I26" s="7"/>
      <c r="J26" s="33"/>
      <c r="K26" s="175"/>
      <c r="L26" s="176"/>
      <c r="M26" s="176"/>
      <c r="N26" s="47"/>
    </row>
    <row r="27" spans="2:19" ht="19.5" customHeight="1" thickBot="1" x14ac:dyDescent="0.35">
      <c r="B27" s="150" t="s">
        <v>34</v>
      </c>
      <c r="C27" s="151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3"/>
    </row>
    <row r="28" spans="2:19" ht="19.5" customHeight="1" x14ac:dyDescent="0.3">
      <c r="B28" s="160" t="s">
        <v>46</v>
      </c>
      <c r="C28" s="161"/>
      <c r="D28" s="161"/>
      <c r="E28" s="162"/>
      <c r="F28" s="160" t="s">
        <v>47</v>
      </c>
      <c r="G28" s="161"/>
      <c r="H28" s="161"/>
      <c r="I28" s="161"/>
      <c r="J28" s="162"/>
      <c r="K28" s="160" t="s">
        <v>149</v>
      </c>
      <c r="L28" s="161"/>
      <c r="M28" s="161"/>
      <c r="N28" s="162"/>
    </row>
    <row r="29" spans="2:19" ht="16.5" customHeight="1" x14ac:dyDescent="0.3">
      <c r="B29" s="40" t="s">
        <v>69</v>
      </c>
      <c r="C29" s="163" t="s">
        <v>15</v>
      </c>
      <c r="D29" s="164"/>
      <c r="E29" s="165"/>
      <c r="F29" s="166" t="s">
        <v>69</v>
      </c>
      <c r="G29" s="164"/>
      <c r="H29" s="167"/>
      <c r="I29" s="163" t="s">
        <v>15</v>
      </c>
      <c r="J29" s="165"/>
      <c r="K29" s="166" t="s">
        <v>69</v>
      </c>
      <c r="L29" s="167"/>
      <c r="M29" s="163" t="s">
        <v>15</v>
      </c>
      <c r="N29" s="165"/>
    </row>
    <row r="30" spans="2:19" ht="16.5" customHeight="1" x14ac:dyDescent="0.3">
      <c r="B30" s="37" t="s">
        <v>48</v>
      </c>
      <c r="C30" s="168" t="s">
        <v>68</v>
      </c>
      <c r="D30" s="169"/>
      <c r="E30" s="170"/>
      <c r="F30" s="171" t="s">
        <v>120</v>
      </c>
      <c r="G30" s="169"/>
      <c r="H30" s="172"/>
      <c r="I30" s="173" t="s">
        <v>63</v>
      </c>
      <c r="J30" s="174"/>
      <c r="K30" s="171" t="s">
        <v>98</v>
      </c>
      <c r="L30" s="172"/>
      <c r="M30" s="173" t="s">
        <v>68</v>
      </c>
      <c r="N30" s="174"/>
    </row>
    <row r="31" spans="2:19" ht="16.5" customHeight="1" x14ac:dyDescent="0.3">
      <c r="B31" s="37"/>
      <c r="C31" s="168"/>
      <c r="D31" s="169"/>
      <c r="E31" s="170"/>
      <c r="F31" s="171"/>
      <c r="G31" s="169"/>
      <c r="H31" s="172"/>
      <c r="I31" s="173"/>
      <c r="J31" s="174"/>
      <c r="K31" s="171"/>
      <c r="L31" s="172"/>
      <c r="M31" s="173"/>
      <c r="N31" s="174"/>
    </row>
    <row r="32" spans="2:19" ht="16.5" customHeight="1" x14ac:dyDescent="0.3">
      <c r="B32" s="37"/>
      <c r="C32" s="168"/>
      <c r="D32" s="169"/>
      <c r="E32" s="170"/>
      <c r="F32" s="171"/>
      <c r="G32" s="169"/>
      <c r="H32" s="172"/>
      <c r="I32" s="173"/>
      <c r="J32" s="174"/>
      <c r="K32" s="171"/>
      <c r="L32" s="172"/>
      <c r="M32" s="173"/>
      <c r="N32" s="174"/>
    </row>
    <row r="33" spans="2:19" ht="16.5" customHeight="1" x14ac:dyDescent="0.3">
      <c r="B33" s="37"/>
      <c r="C33" s="168"/>
      <c r="D33" s="169"/>
      <c r="E33" s="170"/>
      <c r="F33" s="171"/>
      <c r="G33" s="169"/>
      <c r="H33" s="172"/>
      <c r="I33" s="173"/>
      <c r="J33" s="174"/>
      <c r="K33" s="171"/>
      <c r="L33" s="172"/>
      <c r="M33" s="173"/>
      <c r="N33" s="174"/>
    </row>
    <row r="34" spans="2:19" ht="16.5" customHeight="1" x14ac:dyDescent="0.3">
      <c r="B34" s="37"/>
      <c r="C34" s="168"/>
      <c r="D34" s="169"/>
      <c r="E34" s="170"/>
      <c r="F34" s="171"/>
      <c r="G34" s="169"/>
      <c r="H34" s="172"/>
      <c r="I34" s="173"/>
      <c r="J34" s="174"/>
      <c r="K34" s="171"/>
      <c r="L34" s="172"/>
      <c r="M34" s="173"/>
      <c r="N34" s="174"/>
    </row>
    <row r="35" spans="2:19" ht="16.5" customHeight="1" thickBot="1" x14ac:dyDescent="0.35">
      <c r="B35" s="38"/>
      <c r="C35" s="168"/>
      <c r="D35" s="169"/>
      <c r="E35" s="170"/>
      <c r="F35" s="171"/>
      <c r="G35" s="169"/>
      <c r="H35" s="172"/>
      <c r="I35" s="173"/>
      <c r="J35" s="174"/>
      <c r="K35" s="171"/>
      <c r="L35" s="172"/>
      <c r="M35" s="173"/>
      <c r="N35" s="174"/>
    </row>
    <row r="36" spans="2:19" ht="19.5" customHeight="1" x14ac:dyDescent="0.35">
      <c r="B36" s="183" t="s">
        <v>16</v>
      </c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5"/>
      <c r="S36" s="8"/>
    </row>
    <row r="37" spans="2:19" ht="15.75" customHeight="1" x14ac:dyDescent="0.3">
      <c r="B37" s="54" t="s">
        <v>13</v>
      </c>
      <c r="C37" s="55" t="s">
        <v>2</v>
      </c>
      <c r="D37" s="55" t="s">
        <v>1</v>
      </c>
      <c r="E37" s="182" t="s">
        <v>6</v>
      </c>
      <c r="F37" s="182"/>
      <c r="G37" s="182"/>
      <c r="H37" s="182"/>
      <c r="I37" s="27" t="s">
        <v>73</v>
      </c>
      <c r="J37" s="27" t="s">
        <v>14</v>
      </c>
      <c r="K37" s="127" t="s">
        <v>15</v>
      </c>
      <c r="L37" s="128"/>
      <c r="M37" s="128"/>
      <c r="N37" s="181"/>
      <c r="S37" s="8"/>
    </row>
    <row r="38" spans="2:19" ht="16.5" customHeight="1" x14ac:dyDescent="0.3">
      <c r="B38" s="7" t="s">
        <v>43</v>
      </c>
      <c r="C38" s="51">
        <v>46314</v>
      </c>
      <c r="D38" s="53" t="s">
        <v>11</v>
      </c>
      <c r="E38" s="180" t="s">
        <v>70</v>
      </c>
      <c r="F38" s="180"/>
      <c r="G38" s="180"/>
      <c r="H38" s="180"/>
      <c r="I38" s="29">
        <v>0</v>
      </c>
      <c r="J38" s="29">
        <v>0</v>
      </c>
      <c r="K38" s="177" t="s">
        <v>135</v>
      </c>
      <c r="L38" s="178"/>
      <c r="M38" s="178"/>
      <c r="N38" s="179"/>
      <c r="O38" s="8"/>
      <c r="P38" s="8"/>
      <c r="Q38" s="19"/>
      <c r="R38" s="8"/>
      <c r="S38" s="8"/>
    </row>
    <row r="39" spans="2:19" ht="16.5" customHeight="1" x14ac:dyDescent="0.3">
      <c r="B39" s="7" t="s">
        <v>43</v>
      </c>
      <c r="C39" s="51">
        <v>46314</v>
      </c>
      <c r="D39" s="53" t="s">
        <v>3</v>
      </c>
      <c r="E39" s="180" t="s">
        <v>70</v>
      </c>
      <c r="F39" s="180"/>
      <c r="G39" s="180"/>
      <c r="H39" s="180"/>
      <c r="I39" s="29">
        <v>0</v>
      </c>
      <c r="J39" s="29">
        <v>0</v>
      </c>
      <c r="K39" s="177" t="s">
        <v>135</v>
      </c>
      <c r="L39" s="178"/>
      <c r="M39" s="178"/>
      <c r="N39" s="179"/>
      <c r="O39" s="8"/>
      <c r="P39" s="8"/>
      <c r="Q39" s="19"/>
      <c r="R39" s="8"/>
      <c r="S39" s="8"/>
    </row>
    <row r="40" spans="2:19" ht="16.5" customHeight="1" x14ac:dyDescent="0.3">
      <c r="B40" s="7" t="s">
        <v>43</v>
      </c>
      <c r="C40" s="51">
        <v>46314</v>
      </c>
      <c r="D40" s="53" t="s">
        <v>4</v>
      </c>
      <c r="E40" s="180" t="s">
        <v>70</v>
      </c>
      <c r="F40" s="180"/>
      <c r="G40" s="180"/>
      <c r="H40" s="180"/>
      <c r="I40" s="29">
        <v>0</v>
      </c>
      <c r="J40" s="29">
        <v>0</v>
      </c>
      <c r="K40" s="177" t="s">
        <v>135</v>
      </c>
      <c r="L40" s="178"/>
      <c r="M40" s="178"/>
      <c r="N40" s="179"/>
      <c r="O40" s="8"/>
      <c r="P40" s="8"/>
      <c r="Q40" s="19"/>
      <c r="R40" s="8"/>
      <c r="S40" s="8"/>
    </row>
    <row r="41" spans="2:19" s="5" customFormat="1" ht="16.5" customHeight="1" x14ac:dyDescent="0.3">
      <c r="B41" s="7"/>
      <c r="C41" s="52"/>
      <c r="D41" s="53"/>
      <c r="E41" s="180"/>
      <c r="F41" s="180"/>
      <c r="G41" s="180"/>
      <c r="H41" s="180"/>
      <c r="I41" s="29"/>
      <c r="J41" s="29"/>
      <c r="K41" s="177"/>
      <c r="L41" s="178"/>
      <c r="M41" s="178"/>
      <c r="N41" s="179"/>
      <c r="O41" s="8"/>
      <c r="P41" s="8"/>
      <c r="Q41" s="19"/>
      <c r="R41" s="8"/>
      <c r="S41" s="8"/>
    </row>
    <row r="42" spans="2:19" s="5" customFormat="1" ht="18" x14ac:dyDescent="0.35">
      <c r="B42" s="93" t="s">
        <v>95</v>
      </c>
      <c r="C42" s="94"/>
      <c r="D42" s="94"/>
      <c r="E42" s="94"/>
      <c r="F42" s="94"/>
      <c r="G42" s="94"/>
      <c r="H42" s="94"/>
      <c r="I42" s="95"/>
      <c r="J42" s="96"/>
      <c r="K42" s="94"/>
      <c r="L42" s="94"/>
      <c r="M42" s="94"/>
      <c r="N42" s="97"/>
      <c r="O42" s="8"/>
      <c r="P42" s="8"/>
      <c r="Q42" s="19"/>
      <c r="R42" s="8"/>
      <c r="S42" s="8"/>
    </row>
    <row r="43" spans="2:19" s="5" customFormat="1" x14ac:dyDescent="0.3">
      <c r="B43" s="25" t="s">
        <v>17</v>
      </c>
      <c r="C43" s="26" t="s">
        <v>2</v>
      </c>
      <c r="D43" s="26" t="s">
        <v>1</v>
      </c>
      <c r="E43" s="186" t="s">
        <v>6</v>
      </c>
      <c r="F43" s="186"/>
      <c r="G43" s="186"/>
      <c r="H43" s="186"/>
      <c r="I43" s="26" t="s">
        <v>14</v>
      </c>
      <c r="J43" s="90"/>
      <c r="K43" s="91"/>
      <c r="L43" s="91"/>
      <c r="M43" s="91"/>
      <c r="N43" s="92"/>
      <c r="O43" s="1"/>
      <c r="P43" s="1"/>
      <c r="Q43" s="17"/>
      <c r="R43" s="1"/>
      <c r="S43" s="1"/>
    </row>
    <row r="44" spans="2:19" s="5" customFormat="1" ht="15.6" x14ac:dyDescent="0.3">
      <c r="B44" s="28" t="s">
        <v>43</v>
      </c>
      <c r="C44" s="51">
        <v>46314</v>
      </c>
      <c r="D44" s="53" t="s">
        <v>11</v>
      </c>
      <c r="E44" s="180" t="s">
        <v>70</v>
      </c>
      <c r="F44" s="180"/>
      <c r="G44" s="180"/>
      <c r="H44" s="180"/>
      <c r="I44" s="29">
        <v>1137</v>
      </c>
      <c r="J44" s="86"/>
      <c r="K44" s="87"/>
      <c r="L44" s="87"/>
      <c r="M44" s="87"/>
      <c r="N44" s="87"/>
      <c r="O44" s="48">
        <v>14003101001</v>
      </c>
      <c r="P44" s="48">
        <v>14003101001</v>
      </c>
      <c r="Q44" s="48">
        <v>14003101001</v>
      </c>
      <c r="R44" s="1"/>
      <c r="S44" s="1"/>
    </row>
    <row r="45" spans="2:19" s="5" customFormat="1" ht="15.6" x14ac:dyDescent="0.3">
      <c r="B45" s="28" t="s">
        <v>43</v>
      </c>
      <c r="C45" s="51">
        <v>46314</v>
      </c>
      <c r="D45" s="53" t="s">
        <v>3</v>
      </c>
      <c r="E45" s="180" t="s">
        <v>70</v>
      </c>
      <c r="F45" s="180"/>
      <c r="G45" s="180"/>
      <c r="H45" s="180"/>
      <c r="I45" s="29">
        <v>1417.5</v>
      </c>
      <c r="J45" s="88"/>
      <c r="K45" s="89"/>
      <c r="L45" s="89"/>
      <c r="M45" s="89"/>
      <c r="N45" s="89"/>
      <c r="O45" s="7">
        <v>14003201001</v>
      </c>
      <c r="P45" s="7">
        <v>14003201001</v>
      </c>
      <c r="Q45" s="7">
        <v>14003201001</v>
      </c>
      <c r="R45" s="1"/>
      <c r="S45" s="1"/>
    </row>
    <row r="46" spans="2:19" s="5" customFormat="1" ht="15.6" x14ac:dyDescent="0.3">
      <c r="B46" s="28" t="s">
        <v>92</v>
      </c>
      <c r="C46" s="51">
        <v>46314</v>
      </c>
      <c r="D46" s="53" t="s">
        <v>4</v>
      </c>
      <c r="E46" s="180" t="s">
        <v>70</v>
      </c>
      <c r="F46" s="180"/>
      <c r="G46" s="180"/>
      <c r="H46" s="180"/>
      <c r="I46" s="29">
        <v>454</v>
      </c>
      <c r="J46" s="88"/>
      <c r="K46" s="89"/>
      <c r="L46" s="89"/>
      <c r="M46" s="89"/>
      <c r="N46" s="89"/>
      <c r="O46" s="7">
        <v>13978401001</v>
      </c>
      <c r="P46" s="7">
        <v>13978401001</v>
      </c>
      <c r="Q46" s="7">
        <v>13978401001</v>
      </c>
      <c r="R46" s="1"/>
      <c r="S46" s="1"/>
    </row>
    <row r="47" spans="2:19" ht="15.6" x14ac:dyDescent="0.3">
      <c r="B47" s="45" t="s">
        <v>43</v>
      </c>
      <c r="C47" s="51">
        <v>46314</v>
      </c>
      <c r="D47" s="53" t="s">
        <v>4</v>
      </c>
      <c r="E47" s="180" t="s">
        <v>70</v>
      </c>
      <c r="F47" s="180"/>
      <c r="G47" s="180"/>
      <c r="H47" s="180"/>
      <c r="I47" s="29">
        <v>1098</v>
      </c>
      <c r="J47" s="88"/>
      <c r="K47" s="89"/>
      <c r="L47" s="89"/>
      <c r="M47" s="89"/>
      <c r="N47" s="89"/>
      <c r="O47" s="4"/>
    </row>
    <row r="48" spans="2:19" ht="15.6" x14ac:dyDescent="0.3">
      <c r="B48" s="7"/>
      <c r="C48" s="51"/>
      <c r="D48" s="53"/>
      <c r="E48" s="180"/>
      <c r="F48" s="180"/>
      <c r="G48" s="180"/>
      <c r="H48" s="180"/>
      <c r="I48" s="29"/>
      <c r="J48" s="88"/>
      <c r="K48" s="89"/>
      <c r="L48" s="89"/>
      <c r="M48" s="89"/>
      <c r="N48" s="89"/>
      <c r="O48" s="4">
        <v>13851401001</v>
      </c>
    </row>
    <row r="49" spans="2:14" ht="15.6" x14ac:dyDescent="0.3">
      <c r="B49" s="51"/>
      <c r="C49" s="52"/>
      <c r="D49" s="53"/>
      <c r="E49" s="117"/>
      <c r="F49" s="117"/>
      <c r="G49" s="117"/>
      <c r="H49" s="117"/>
      <c r="I49" s="29"/>
      <c r="J49" s="88"/>
      <c r="K49" s="89"/>
      <c r="L49" s="89"/>
      <c r="M49" s="89"/>
      <c r="N49" s="89"/>
    </row>
    <row r="50" spans="2:14" x14ac:dyDescent="0.3"/>
    <row r="51" spans="2:14" x14ac:dyDescent="0.3"/>
    <row r="52" spans="2:14" x14ac:dyDescent="0.3"/>
    <row r="53" spans="2:14" x14ac:dyDescent="0.3"/>
    <row r="54" spans="2:14" x14ac:dyDescent="0.3"/>
    <row r="55" spans="2:14" x14ac:dyDescent="0.3"/>
    <row r="56" spans="2:14" x14ac:dyDescent="0.3"/>
    <row r="57" spans="2:14" x14ac:dyDescent="0.3"/>
    <row r="58" spans="2:14" x14ac:dyDescent="0.3"/>
    <row r="59" spans="2:14" x14ac:dyDescent="0.3"/>
    <row r="60" spans="2:14" x14ac:dyDescent="0.3"/>
    <row r="61" spans="2:14" x14ac:dyDescent="0.3"/>
    <row r="62" spans="2:14" x14ac:dyDescent="0.3"/>
    <row r="63" spans="2:14" x14ac:dyDescent="0.3"/>
    <row r="64" spans="2:1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</sheetData>
  <mergeCells count="101">
    <mergeCell ref="E48:H48"/>
    <mergeCell ref="E49:H49"/>
    <mergeCell ref="E45:H45"/>
    <mergeCell ref="E47:H47"/>
    <mergeCell ref="E46:H46"/>
    <mergeCell ref="E43:H43"/>
    <mergeCell ref="E44:H44"/>
    <mergeCell ref="M32:N32"/>
    <mergeCell ref="F33:H33"/>
    <mergeCell ref="I33:J33"/>
    <mergeCell ref="K41:N41"/>
    <mergeCell ref="E41:H41"/>
    <mergeCell ref="E38:H38"/>
    <mergeCell ref="K40:N40"/>
    <mergeCell ref="E39:H39"/>
    <mergeCell ref="F34:H34"/>
    <mergeCell ref="C33:E33"/>
    <mergeCell ref="M35:N35"/>
    <mergeCell ref="M33:N33"/>
    <mergeCell ref="K37:N37"/>
    <mergeCell ref="K38:N38"/>
    <mergeCell ref="E37:H37"/>
    <mergeCell ref="B36:N36"/>
    <mergeCell ref="M34:N34"/>
    <mergeCell ref="E40:H40"/>
    <mergeCell ref="K39:N39"/>
    <mergeCell ref="F35:H35"/>
    <mergeCell ref="I35:J35"/>
    <mergeCell ref="K35:L35"/>
    <mergeCell ref="C34:E34"/>
    <mergeCell ref="C35:E35"/>
    <mergeCell ref="K34:L34"/>
    <mergeCell ref="I34:J34"/>
    <mergeCell ref="K28:N28"/>
    <mergeCell ref="K30:L30"/>
    <mergeCell ref="K31:L31"/>
    <mergeCell ref="K29:L29"/>
    <mergeCell ref="M29:N29"/>
    <mergeCell ref="M30:N30"/>
    <mergeCell ref="M31:N31"/>
    <mergeCell ref="K32:L32"/>
    <mergeCell ref="K33:L33"/>
    <mergeCell ref="B28:E28"/>
    <mergeCell ref="F28:J28"/>
    <mergeCell ref="C29:E29"/>
    <mergeCell ref="F29:H29"/>
    <mergeCell ref="C32:E32"/>
    <mergeCell ref="F30:H30"/>
    <mergeCell ref="I30:J30"/>
    <mergeCell ref="F31:H31"/>
    <mergeCell ref="I31:J31"/>
    <mergeCell ref="I29:J29"/>
    <mergeCell ref="F32:H32"/>
    <mergeCell ref="I32:J32"/>
    <mergeCell ref="C30:E30"/>
    <mergeCell ref="C31:E31"/>
    <mergeCell ref="E9:H9"/>
    <mergeCell ref="E14:H14"/>
    <mergeCell ref="N6:Q6"/>
    <mergeCell ref="N7:Q7"/>
    <mergeCell ref="E26:H26"/>
    <mergeCell ref="B27:N27"/>
    <mergeCell ref="E19:H19"/>
    <mergeCell ref="E24:H24"/>
    <mergeCell ref="E21:H21"/>
    <mergeCell ref="E20:H20"/>
    <mergeCell ref="E22:H22"/>
    <mergeCell ref="E25:H25"/>
    <mergeCell ref="K24:M24"/>
    <mergeCell ref="K19:M19"/>
    <mergeCell ref="K20:M20"/>
    <mergeCell ref="K21:M21"/>
    <mergeCell ref="K22:M22"/>
    <mergeCell ref="E23:H23"/>
    <mergeCell ref="K23:M23"/>
    <mergeCell ref="K25:M25"/>
    <mergeCell ref="K26:M26"/>
    <mergeCell ref="E11:H11"/>
    <mergeCell ref="A1:B2"/>
    <mergeCell ref="J44:N49"/>
    <mergeCell ref="J43:N43"/>
    <mergeCell ref="B42:I42"/>
    <mergeCell ref="J42:N42"/>
    <mergeCell ref="B12:O12"/>
    <mergeCell ref="B13:B16"/>
    <mergeCell ref="C13:C16"/>
    <mergeCell ref="E13:H13"/>
    <mergeCell ref="K13:N13"/>
    <mergeCell ref="L14:N16"/>
    <mergeCell ref="E10:H10"/>
    <mergeCell ref="E15:H15"/>
    <mergeCell ref="B17:N17"/>
    <mergeCell ref="K18:N18"/>
    <mergeCell ref="B3:B4"/>
    <mergeCell ref="E18:H18"/>
    <mergeCell ref="E16:H16"/>
    <mergeCell ref="C2:N4"/>
    <mergeCell ref="E5:H5"/>
    <mergeCell ref="E6:H6"/>
    <mergeCell ref="E7:H7"/>
    <mergeCell ref="E8:H8"/>
  </mergeCells>
  <phoneticPr fontId="9" type="noConversion"/>
  <dataValidations count="2">
    <dataValidation type="list" allowBlank="1" showInputMessage="1" showErrorMessage="1" sqref="B3" xr:uid="{AD83BCE4-727C-452D-A5AD-5972384032AD}">
      <formula1>$Q$2:$Q$5</formula1>
    </dataValidation>
    <dataValidation type="list" allowBlank="1" showInputMessage="1" showErrorMessage="1" sqref="D19:D26 D44:D49 D38:D41 D6:D11 D14:D16" xr:uid="{1258244D-B7A5-4500-8E9B-CC2AEE8D3CF8}">
      <formula1>$P$2:$P$5</formula1>
    </dataValidation>
  </dataValidations>
  <pageMargins left="0.25" right="0.25" top="0.75" bottom="0.75" header="0.3" footer="0.3"/>
  <pageSetup paperSize="9"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E41A6E06-402A-4086-89E1-D26DC2C513D6}">
          <x14:formula1>
            <xm:f>Farinhas!$E$2:$E$13</xm:f>
          </x14:formula1>
          <xm:sqref>B31:B35</xm:sqref>
        </x14:dataValidation>
        <x14:dataValidation type="list" allowBlank="1" showInputMessage="1" showErrorMessage="1" xr:uid="{20DAE6DB-7F6A-4EF5-B8E2-E05467F9D1F1}">
          <x14:formula1>
            <xm:f>Farinhas!$H$2:$H$10</xm:f>
          </x14:formula1>
          <xm:sqref>C30:E35 M30:N35 I30:J35</xm:sqref>
        </x14:dataValidation>
        <x14:dataValidation type="list" allowBlank="1" showInputMessage="1" showErrorMessage="1" xr:uid="{A0F84D3F-4591-4392-853A-9533469E366E}">
          <x14:formula1>
            <xm:f>'base itens'!$A$2:$A$9</xm:f>
          </x14:formula1>
          <xm:sqref>B8 B23 B19:B20 B6</xm:sqref>
        </x14:dataValidation>
        <x14:dataValidation type="list" allowBlank="1" showInputMessage="1" showErrorMessage="1" xr:uid="{914B377B-9516-464F-B25A-72196BF0059D}">
          <x14:formula1>
            <xm:f>Farinhas!$A$2:$A$19</xm:f>
          </x14:formula1>
          <xm:sqref>K25:K26</xm:sqref>
        </x14:dataValidation>
        <x14:dataValidation type="list" allowBlank="1" showInputMessage="1" showErrorMessage="1" xr:uid="{50F21E48-AA8E-4F65-BAAE-4DB161F2FDEF}">
          <x14:formula1>
            <xm:f>Farinhas!$G$2:$G$75</xm:f>
          </x14:formula1>
          <xm:sqref>K30:L35</xm:sqref>
        </x14:dataValidation>
        <x14:dataValidation type="list" allowBlank="1" showInputMessage="1" showErrorMessage="1" xr:uid="{AFD925BD-5491-416C-92BF-000DCEE6BD82}">
          <x14:formula1>
            <xm:f>Farinhas!$F$2:$F$26</xm:f>
          </x14:formula1>
          <xm:sqref>F30:H35</xm:sqref>
        </x14:dataValidation>
        <x14:dataValidation type="list" allowBlank="1" showInputMessage="1" showErrorMessage="1" xr:uid="{46437A92-B387-454C-9DAE-74127E3E6B79}">
          <x14:formula1>
            <xm:f>Farinhas!$E$2:$E$25</xm:f>
          </x14:formula1>
          <xm:sqref>B30</xm:sqref>
        </x14:dataValidation>
        <x14:dataValidation type="list" allowBlank="1" showInputMessage="1" showErrorMessage="1" xr:uid="{509C7E1C-4394-41DB-B98C-F0FD5BFFBDFA}">
          <x14:formula1>
            <xm:f>Farinhas!$A$2:$A$20</xm:f>
          </x14:formula1>
          <xm:sqref>K19:M24</xm:sqref>
        </x14:dataValidation>
        <x14:dataValidation type="list" allowBlank="1" showInputMessage="1" showErrorMessage="1" xr:uid="{6FDD6616-CCEB-43B9-AE6B-7B42C7932F2A}">
          <x14:formula1>
            <xm:f>'base itens'!$A$2:$A$13</xm:f>
          </x14:formula1>
          <xm:sqref>B38:B41 B44:B48</xm:sqref>
        </x14:dataValidation>
        <x14:dataValidation type="list" allowBlank="1" showInputMessage="1" showErrorMessage="1" xr:uid="{6385A85F-056D-4D64-9386-60D86D850D3C}">
          <x14:formula1>
            <xm:f>'base itens'!$A$2:$A$10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7F01-76A4-4C4F-B7C6-E2D850FCCA47}">
  <dimension ref="A1:H23"/>
  <sheetViews>
    <sheetView topLeftCell="A7" workbookViewId="0">
      <selection activeCell="E25" sqref="E25"/>
    </sheetView>
  </sheetViews>
  <sheetFormatPr defaultRowHeight="14.4" x14ac:dyDescent="0.3"/>
  <cols>
    <col min="1" max="1" width="54.6640625" bestFit="1" customWidth="1"/>
    <col min="2" max="3" width="1" customWidth="1"/>
    <col min="4" max="4" width="2.5546875" customWidth="1"/>
    <col min="5" max="5" width="36.6640625" bestFit="1" customWidth="1"/>
    <col min="6" max="6" width="38.33203125" bestFit="1" customWidth="1"/>
    <col min="7" max="7" width="33.5546875" bestFit="1" customWidth="1"/>
    <col min="8" max="8" width="33.6640625" customWidth="1"/>
  </cols>
  <sheetData>
    <row r="1" spans="1:8" x14ac:dyDescent="0.3">
      <c r="A1" s="44"/>
      <c r="E1" s="39" t="s">
        <v>60</v>
      </c>
      <c r="F1" s="39" t="s">
        <v>61</v>
      </c>
      <c r="G1" s="39" t="s">
        <v>62</v>
      </c>
      <c r="H1" s="39" t="s">
        <v>12</v>
      </c>
    </row>
    <row r="2" spans="1:8" x14ac:dyDescent="0.3">
      <c r="A2" s="44" t="s">
        <v>106</v>
      </c>
      <c r="E2" t="s">
        <v>134</v>
      </c>
      <c r="F2" t="s">
        <v>50</v>
      </c>
      <c r="G2" t="s">
        <v>58</v>
      </c>
      <c r="H2" t="s">
        <v>63</v>
      </c>
    </row>
    <row r="3" spans="1:8" x14ac:dyDescent="0.3">
      <c r="A3" s="44" t="s">
        <v>107</v>
      </c>
      <c r="E3" t="s">
        <v>91</v>
      </c>
      <c r="F3" t="s">
        <v>86</v>
      </c>
      <c r="G3" t="s">
        <v>55</v>
      </c>
      <c r="H3" t="s">
        <v>64</v>
      </c>
    </row>
    <row r="4" spans="1:8" x14ac:dyDescent="0.3">
      <c r="A4" s="44" t="s">
        <v>108</v>
      </c>
      <c r="E4" t="s">
        <v>82</v>
      </c>
      <c r="F4" t="s">
        <v>75</v>
      </c>
      <c r="G4" t="s">
        <v>54</v>
      </c>
      <c r="H4" t="s">
        <v>65</v>
      </c>
    </row>
    <row r="5" spans="1:8" x14ac:dyDescent="0.3">
      <c r="A5" s="44" t="s">
        <v>109</v>
      </c>
      <c r="E5" t="s">
        <v>48</v>
      </c>
      <c r="F5" t="s">
        <v>76</v>
      </c>
      <c r="G5" t="s">
        <v>78</v>
      </c>
      <c r="H5" t="s">
        <v>66</v>
      </c>
    </row>
    <row r="6" spans="1:8" x14ac:dyDescent="0.3">
      <c r="A6" s="44" t="s">
        <v>142</v>
      </c>
      <c r="E6" t="s">
        <v>139</v>
      </c>
      <c r="F6" t="s">
        <v>51</v>
      </c>
      <c r="G6" t="s">
        <v>56</v>
      </c>
      <c r="H6" t="s">
        <v>67</v>
      </c>
    </row>
    <row r="7" spans="1:8" x14ac:dyDescent="0.3">
      <c r="A7" s="44" t="s">
        <v>72</v>
      </c>
      <c r="E7" t="s">
        <v>131</v>
      </c>
      <c r="F7" t="s">
        <v>52</v>
      </c>
      <c r="G7" t="s">
        <v>57</v>
      </c>
      <c r="H7" t="s">
        <v>68</v>
      </c>
    </row>
    <row r="8" spans="1:8" x14ac:dyDescent="0.3">
      <c r="A8" s="44" t="s">
        <v>74</v>
      </c>
      <c r="E8" t="s">
        <v>49</v>
      </c>
      <c r="F8" t="s">
        <v>53</v>
      </c>
      <c r="G8" t="s">
        <v>59</v>
      </c>
      <c r="H8" t="s">
        <v>77</v>
      </c>
    </row>
    <row r="9" spans="1:8" x14ac:dyDescent="0.3">
      <c r="A9" s="44" t="s">
        <v>146</v>
      </c>
      <c r="E9" t="s">
        <v>71</v>
      </c>
      <c r="F9" t="s">
        <v>87</v>
      </c>
      <c r="G9" t="s">
        <v>85</v>
      </c>
      <c r="H9" t="s">
        <v>84</v>
      </c>
    </row>
    <row r="10" spans="1:8" x14ac:dyDescent="0.3">
      <c r="A10" s="44" t="s">
        <v>110</v>
      </c>
      <c r="E10" t="s">
        <v>132</v>
      </c>
      <c r="F10" t="s">
        <v>83</v>
      </c>
      <c r="G10" t="s">
        <v>80</v>
      </c>
      <c r="H10" t="s">
        <v>89</v>
      </c>
    </row>
    <row r="11" spans="1:8" x14ac:dyDescent="0.3">
      <c r="A11" s="44" t="s">
        <v>111</v>
      </c>
      <c r="E11" t="s">
        <v>133</v>
      </c>
      <c r="F11" t="s">
        <v>81</v>
      </c>
      <c r="G11" t="s">
        <v>79</v>
      </c>
      <c r="H11" t="s">
        <v>137</v>
      </c>
    </row>
    <row r="12" spans="1:8" x14ac:dyDescent="0.3">
      <c r="A12" s="44" t="s">
        <v>125</v>
      </c>
      <c r="E12" t="s">
        <v>136</v>
      </c>
      <c r="F12" t="s">
        <v>143</v>
      </c>
      <c r="G12" t="s">
        <v>90</v>
      </c>
      <c r="H12" t="s">
        <v>114</v>
      </c>
    </row>
    <row r="13" spans="1:8" x14ac:dyDescent="0.3">
      <c r="A13" s="44" t="s">
        <v>124</v>
      </c>
      <c r="E13" t="s">
        <v>48</v>
      </c>
      <c r="F13" t="s">
        <v>93</v>
      </c>
      <c r="G13" t="s">
        <v>94</v>
      </c>
    </row>
    <row r="14" spans="1:8" x14ac:dyDescent="0.3">
      <c r="A14" s="44" t="s">
        <v>113</v>
      </c>
      <c r="E14" t="s">
        <v>134</v>
      </c>
      <c r="F14" t="s">
        <v>121</v>
      </c>
      <c r="G14" t="s">
        <v>96</v>
      </c>
    </row>
    <row r="15" spans="1:8" x14ac:dyDescent="0.3">
      <c r="A15" s="44" t="s">
        <v>117</v>
      </c>
      <c r="F15" t="s">
        <v>120</v>
      </c>
      <c r="G15" t="s">
        <v>97</v>
      </c>
    </row>
    <row r="16" spans="1:8" x14ac:dyDescent="0.3">
      <c r="A16" s="44" t="s">
        <v>126</v>
      </c>
      <c r="F16" t="s">
        <v>101</v>
      </c>
      <c r="G16" t="s">
        <v>98</v>
      </c>
    </row>
    <row r="17" spans="1:7" x14ac:dyDescent="0.3">
      <c r="A17" s="44" t="s">
        <v>127</v>
      </c>
      <c r="F17" t="s">
        <v>112</v>
      </c>
      <c r="G17" t="s">
        <v>103</v>
      </c>
    </row>
    <row r="18" spans="1:7" x14ac:dyDescent="0.3">
      <c r="A18" s="44" t="s">
        <v>141</v>
      </c>
      <c r="F18" t="s">
        <v>122</v>
      </c>
    </row>
    <row r="19" spans="1:7" x14ac:dyDescent="0.3">
      <c r="A19" s="44" t="s">
        <v>140</v>
      </c>
      <c r="F19" t="s">
        <v>123</v>
      </c>
    </row>
    <row r="20" spans="1:7" x14ac:dyDescent="0.3">
      <c r="A20" s="44" t="s">
        <v>138</v>
      </c>
      <c r="F20" t="s">
        <v>128</v>
      </c>
    </row>
    <row r="21" spans="1:7" x14ac:dyDescent="0.3">
      <c r="A21" s="44"/>
      <c r="F21" t="s">
        <v>129</v>
      </c>
    </row>
    <row r="22" spans="1:7" x14ac:dyDescent="0.3">
      <c r="A22" s="44"/>
      <c r="F22" t="s">
        <v>130</v>
      </c>
    </row>
    <row r="23" spans="1:7" x14ac:dyDescent="0.3">
      <c r="F23" t="s">
        <v>147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9CD4-7436-4415-A9C9-0E06B9ECC71C}">
  <dimension ref="A1:D438"/>
  <sheetViews>
    <sheetView showGridLines="0" topLeftCell="A2" workbookViewId="0">
      <selection activeCell="B27" sqref="B27"/>
    </sheetView>
  </sheetViews>
  <sheetFormatPr defaultRowHeight="14.4" x14ac:dyDescent="0.3"/>
  <cols>
    <col min="2" max="2" width="80.109375" bestFit="1" customWidth="1"/>
    <col min="3" max="3" width="13.6640625" customWidth="1"/>
  </cols>
  <sheetData>
    <row r="1" spans="1:4" ht="31.2" x14ac:dyDescent="0.3">
      <c r="A1" s="9" t="s">
        <v>18</v>
      </c>
      <c r="B1" s="9" t="s">
        <v>19</v>
      </c>
      <c r="C1" s="9" t="s">
        <v>37</v>
      </c>
    </row>
    <row r="2" spans="1:4" ht="15.6" x14ac:dyDescent="0.3">
      <c r="A2" s="10" t="s">
        <v>20</v>
      </c>
      <c r="B2" s="10" t="s">
        <v>21</v>
      </c>
      <c r="C2" s="10">
        <v>60.1</v>
      </c>
      <c r="D2">
        <v>7.5</v>
      </c>
    </row>
    <row r="3" spans="1:4" ht="15.6" x14ac:dyDescent="0.3">
      <c r="A3" s="10" t="s">
        <v>22</v>
      </c>
      <c r="B3" s="10" t="s">
        <v>23</v>
      </c>
      <c r="C3" s="10">
        <v>60</v>
      </c>
      <c r="D3">
        <v>7.5</v>
      </c>
    </row>
    <row r="4" spans="1:4" ht="15.6" x14ac:dyDescent="0.3">
      <c r="A4" s="10" t="s">
        <v>24</v>
      </c>
      <c r="B4" s="10" t="s">
        <v>25</v>
      </c>
      <c r="C4" s="10">
        <v>60.6</v>
      </c>
      <c r="D4">
        <v>7.5</v>
      </c>
    </row>
    <row r="5" spans="1:4" ht="15.6" x14ac:dyDescent="0.3">
      <c r="A5" s="10" t="s">
        <v>44</v>
      </c>
      <c r="B5" s="10" t="s">
        <v>45</v>
      </c>
      <c r="C5" s="10">
        <v>68.8</v>
      </c>
      <c r="D5">
        <v>6.6</v>
      </c>
    </row>
    <row r="6" spans="1:4" ht="15.6" x14ac:dyDescent="0.3">
      <c r="A6" s="10" t="s">
        <v>99</v>
      </c>
      <c r="B6" s="10" t="s">
        <v>100</v>
      </c>
      <c r="C6" s="10"/>
      <c r="D6">
        <v>6.5</v>
      </c>
    </row>
    <row r="7" spans="1:4" ht="15.6" x14ac:dyDescent="0.3">
      <c r="A7" s="10" t="s">
        <v>102</v>
      </c>
      <c r="B7" s="10" t="s">
        <v>25</v>
      </c>
      <c r="C7" s="10"/>
    </row>
    <row r="8" spans="1:4" ht="15.6" x14ac:dyDescent="0.3">
      <c r="A8" s="10" t="s">
        <v>118</v>
      </c>
      <c r="B8" s="10" t="s">
        <v>119</v>
      </c>
      <c r="C8" s="10">
        <v>41.9</v>
      </c>
    </row>
    <row r="9" spans="1:4" ht="15.6" x14ac:dyDescent="0.3">
      <c r="A9" s="10" t="s">
        <v>115</v>
      </c>
      <c r="B9" s="10" t="s">
        <v>116</v>
      </c>
      <c r="C9" s="10">
        <v>20.8</v>
      </c>
    </row>
    <row r="10" spans="1:4" ht="15.6" x14ac:dyDescent="0.3">
      <c r="A10" s="10" t="s">
        <v>144</v>
      </c>
      <c r="B10" s="10" t="s">
        <v>145</v>
      </c>
      <c r="C10" s="10"/>
    </row>
    <row r="11" spans="1:4" ht="15.6" x14ac:dyDescent="0.3">
      <c r="A11" s="10" t="s">
        <v>28</v>
      </c>
      <c r="B11" s="10" t="s">
        <v>29</v>
      </c>
      <c r="C11" s="10"/>
    </row>
    <row r="12" spans="1:4" ht="15.6" x14ac:dyDescent="0.3">
      <c r="A12" s="10" t="s">
        <v>43</v>
      </c>
      <c r="B12" s="10" t="s">
        <v>70</v>
      </c>
      <c r="C12" s="10"/>
    </row>
    <row r="13" spans="1:4" ht="15.6" x14ac:dyDescent="0.3">
      <c r="A13" s="10" t="s">
        <v>92</v>
      </c>
      <c r="B13" s="10" t="s">
        <v>29</v>
      </c>
      <c r="C13" s="10"/>
    </row>
    <row r="14" spans="1:4" ht="15.6" x14ac:dyDescent="0.3">
      <c r="A14" s="10" t="s">
        <v>44</v>
      </c>
      <c r="B14" s="42" t="s">
        <v>45</v>
      </c>
      <c r="C14" s="10"/>
    </row>
    <row r="15" spans="1:4" ht="15.6" x14ac:dyDescent="0.3">
      <c r="A15" s="10" t="s">
        <v>88</v>
      </c>
      <c r="B15" s="10" t="s">
        <v>27</v>
      </c>
      <c r="C15" s="10">
        <v>41.9</v>
      </c>
    </row>
    <row r="16" spans="1:4" ht="15.6" x14ac:dyDescent="0.3">
      <c r="A16" s="10" t="s">
        <v>115</v>
      </c>
      <c r="B16" s="10" t="s">
        <v>116</v>
      </c>
      <c r="C16" s="10"/>
    </row>
    <row r="17" spans="1:3" ht="15.6" x14ac:dyDescent="0.3">
      <c r="A17" s="10" t="s">
        <v>105</v>
      </c>
      <c r="B17" s="10" t="s">
        <v>104</v>
      </c>
      <c r="C17" s="10"/>
    </row>
    <row r="18" spans="1:3" ht="15.6" x14ac:dyDescent="0.3">
      <c r="A18" s="10" t="s">
        <v>26</v>
      </c>
      <c r="B18" s="10" t="s">
        <v>30</v>
      </c>
      <c r="C18" s="10">
        <v>78.400000000000006</v>
      </c>
    </row>
    <row r="19" spans="1:3" ht="15.6" x14ac:dyDescent="0.3">
      <c r="A19" s="10"/>
      <c r="B19" s="10"/>
      <c r="C19" s="10"/>
    </row>
    <row r="20" spans="1:3" ht="15.6" x14ac:dyDescent="0.3">
      <c r="A20" s="10"/>
      <c r="B20" s="10"/>
      <c r="C20" s="10"/>
    </row>
    <row r="21" spans="1:3" ht="15.6" x14ac:dyDescent="0.3">
      <c r="A21" s="10"/>
      <c r="B21" s="10"/>
      <c r="C21" s="10"/>
    </row>
    <row r="22" spans="1:3" ht="15.6" x14ac:dyDescent="0.3">
      <c r="A22" s="10"/>
      <c r="B22" s="10"/>
      <c r="C22" s="10"/>
    </row>
    <row r="23" spans="1:3" ht="15.6" x14ac:dyDescent="0.3">
      <c r="A23" s="10"/>
      <c r="B23" s="10"/>
      <c r="C23" s="10"/>
    </row>
    <row r="24" spans="1:3" ht="15.6" x14ac:dyDescent="0.3">
      <c r="A24" s="10"/>
      <c r="B24" s="10"/>
      <c r="C24" s="10"/>
    </row>
    <row r="25" spans="1:3" ht="15.6" x14ac:dyDescent="0.3">
      <c r="A25" s="10"/>
      <c r="B25" s="10"/>
      <c r="C25" s="10"/>
    </row>
    <row r="26" spans="1:3" ht="15.6" x14ac:dyDescent="0.3">
      <c r="A26" s="10"/>
      <c r="B26" s="10"/>
      <c r="C26" s="10"/>
    </row>
    <row r="27" spans="1:3" ht="15.6" x14ac:dyDescent="0.3">
      <c r="A27" s="10"/>
      <c r="B27" s="10"/>
      <c r="C27" s="10"/>
    </row>
    <row r="28" spans="1:3" ht="15.6" x14ac:dyDescent="0.3">
      <c r="A28" s="10"/>
      <c r="B28" s="10"/>
      <c r="C28" s="10"/>
    </row>
    <row r="29" spans="1:3" ht="15.6" x14ac:dyDescent="0.3">
      <c r="A29" s="10"/>
      <c r="B29" s="10"/>
      <c r="C29" s="10"/>
    </row>
    <row r="30" spans="1:3" ht="15.6" x14ac:dyDescent="0.3">
      <c r="A30" s="10"/>
      <c r="B30" s="10"/>
      <c r="C30" s="10"/>
    </row>
    <row r="31" spans="1:3" ht="15.6" x14ac:dyDescent="0.3">
      <c r="A31" s="10"/>
      <c r="B31" s="10"/>
      <c r="C31" s="10"/>
    </row>
    <row r="32" spans="1:3" ht="15.6" x14ac:dyDescent="0.3">
      <c r="A32" s="10"/>
      <c r="B32" s="10"/>
      <c r="C32" s="10"/>
    </row>
    <row r="33" spans="1:3" ht="15.6" x14ac:dyDescent="0.3">
      <c r="A33" s="10"/>
      <c r="B33" s="10"/>
      <c r="C33" s="10"/>
    </row>
    <row r="34" spans="1:3" ht="15.6" x14ac:dyDescent="0.3">
      <c r="A34" s="10"/>
      <c r="B34" s="10"/>
      <c r="C34" s="10"/>
    </row>
    <row r="35" spans="1:3" ht="15.6" x14ac:dyDescent="0.3">
      <c r="A35" s="10"/>
      <c r="B35" s="10"/>
      <c r="C35" s="10"/>
    </row>
    <row r="36" spans="1:3" ht="15.6" x14ac:dyDescent="0.3">
      <c r="A36" s="10"/>
      <c r="B36" s="10"/>
      <c r="C36" s="10"/>
    </row>
    <row r="37" spans="1:3" ht="15.6" x14ac:dyDescent="0.3">
      <c r="A37" s="10"/>
      <c r="B37" s="10"/>
      <c r="C37" s="10"/>
    </row>
    <row r="38" spans="1:3" ht="15.6" x14ac:dyDescent="0.3">
      <c r="A38" s="10"/>
      <c r="B38" s="10"/>
      <c r="C38" s="10"/>
    </row>
    <row r="39" spans="1:3" ht="15.6" x14ac:dyDescent="0.3">
      <c r="A39" s="10"/>
      <c r="B39" s="10"/>
      <c r="C39" s="10"/>
    </row>
    <row r="40" spans="1:3" ht="15.6" x14ac:dyDescent="0.3">
      <c r="A40" s="10"/>
      <c r="B40" s="10"/>
      <c r="C40" s="10"/>
    </row>
    <row r="41" spans="1:3" ht="15.6" x14ac:dyDescent="0.3">
      <c r="A41" s="10"/>
      <c r="B41" s="10"/>
      <c r="C41" s="10"/>
    </row>
    <row r="42" spans="1:3" ht="15.6" x14ac:dyDescent="0.3">
      <c r="A42" s="10"/>
      <c r="B42" s="10"/>
      <c r="C42" s="10"/>
    </row>
    <row r="43" spans="1:3" ht="15.6" x14ac:dyDescent="0.3">
      <c r="A43" s="10"/>
      <c r="B43" s="10"/>
      <c r="C43" s="10"/>
    </row>
    <row r="44" spans="1:3" ht="15.6" x14ac:dyDescent="0.3">
      <c r="A44" s="10"/>
      <c r="B44" s="10"/>
      <c r="C44" s="10"/>
    </row>
    <row r="45" spans="1:3" ht="15.6" x14ac:dyDescent="0.3">
      <c r="A45" s="10"/>
      <c r="B45" s="10"/>
      <c r="C45" s="10"/>
    </row>
    <row r="46" spans="1:3" ht="15.6" x14ac:dyDescent="0.3">
      <c r="A46" s="10"/>
      <c r="B46" s="10"/>
      <c r="C46" s="10"/>
    </row>
    <row r="47" spans="1:3" ht="15.6" x14ac:dyDescent="0.3">
      <c r="A47" s="10"/>
      <c r="B47" s="10"/>
      <c r="C47" s="10"/>
    </row>
    <row r="48" spans="1:3" ht="15.6" x14ac:dyDescent="0.3">
      <c r="A48" s="10"/>
      <c r="B48" s="10"/>
      <c r="C48" s="10"/>
    </row>
    <row r="49" spans="1:3" ht="15.6" x14ac:dyDescent="0.3">
      <c r="A49" s="10"/>
      <c r="B49" s="10"/>
      <c r="C49" s="10"/>
    </row>
    <row r="50" spans="1:3" ht="15.6" x14ac:dyDescent="0.3">
      <c r="A50" s="10"/>
      <c r="B50" s="10"/>
      <c r="C50" s="10"/>
    </row>
    <row r="51" spans="1:3" ht="15.6" x14ac:dyDescent="0.3">
      <c r="A51" s="10"/>
      <c r="B51" s="10"/>
      <c r="C51" s="10"/>
    </row>
    <row r="52" spans="1:3" ht="15.6" x14ac:dyDescent="0.3">
      <c r="A52" s="10"/>
      <c r="B52" s="10"/>
      <c r="C52" s="10"/>
    </row>
    <row r="53" spans="1:3" ht="15.6" x14ac:dyDescent="0.3">
      <c r="A53" s="10"/>
      <c r="B53" s="10"/>
      <c r="C53" s="10"/>
    </row>
    <row r="54" spans="1:3" ht="15.6" x14ac:dyDescent="0.3">
      <c r="A54" s="10"/>
      <c r="B54" s="10"/>
      <c r="C54" s="10"/>
    </row>
    <row r="55" spans="1:3" ht="15.6" x14ac:dyDescent="0.3">
      <c r="A55" s="10"/>
      <c r="B55" s="10"/>
      <c r="C55" s="10"/>
    </row>
    <row r="56" spans="1:3" ht="15.6" x14ac:dyDescent="0.3">
      <c r="A56" s="10"/>
      <c r="B56" s="10"/>
      <c r="C56" s="10"/>
    </row>
    <row r="57" spans="1:3" ht="15.6" x14ac:dyDescent="0.3">
      <c r="A57" s="10"/>
      <c r="B57" s="10"/>
      <c r="C57" s="10"/>
    </row>
    <row r="58" spans="1:3" ht="15.6" x14ac:dyDescent="0.3">
      <c r="A58" s="10"/>
      <c r="B58" s="10"/>
      <c r="C58" s="10"/>
    </row>
    <row r="59" spans="1:3" ht="15.6" x14ac:dyDescent="0.3">
      <c r="A59" s="10"/>
      <c r="B59" s="10"/>
      <c r="C59" s="10"/>
    </row>
    <row r="60" spans="1:3" ht="15.6" x14ac:dyDescent="0.3">
      <c r="A60" s="10"/>
      <c r="B60" s="10"/>
      <c r="C60" s="10"/>
    </row>
    <row r="61" spans="1:3" ht="15.6" x14ac:dyDescent="0.3">
      <c r="A61" s="10"/>
      <c r="B61" s="10"/>
      <c r="C61" s="10"/>
    </row>
    <row r="62" spans="1:3" ht="15.6" x14ac:dyDescent="0.3">
      <c r="A62" s="10"/>
      <c r="B62" s="10"/>
      <c r="C62" s="10"/>
    </row>
    <row r="63" spans="1:3" ht="15.6" x14ac:dyDescent="0.3">
      <c r="A63" s="10"/>
      <c r="B63" s="10"/>
      <c r="C63" s="10"/>
    </row>
    <row r="64" spans="1:3" ht="15.6" x14ac:dyDescent="0.3">
      <c r="A64" s="10"/>
      <c r="B64" s="10"/>
      <c r="C64" s="10"/>
    </row>
    <row r="65" spans="1:3" ht="15.6" x14ac:dyDescent="0.3">
      <c r="A65" s="10"/>
      <c r="B65" s="10"/>
      <c r="C65" s="10"/>
    </row>
    <row r="66" spans="1:3" ht="15.6" x14ac:dyDescent="0.3">
      <c r="A66" s="10"/>
      <c r="B66" s="10"/>
      <c r="C66" s="10"/>
    </row>
    <row r="67" spans="1:3" ht="15.6" x14ac:dyDescent="0.3">
      <c r="A67" s="10"/>
      <c r="B67" s="10"/>
      <c r="C67" s="10"/>
    </row>
    <row r="68" spans="1:3" ht="15.6" x14ac:dyDescent="0.3">
      <c r="A68" s="10"/>
      <c r="B68" s="10"/>
      <c r="C68" s="10"/>
    </row>
    <row r="69" spans="1:3" ht="15.6" x14ac:dyDescent="0.3">
      <c r="A69" s="10"/>
      <c r="B69" s="10"/>
      <c r="C69" s="10"/>
    </row>
    <row r="70" spans="1:3" ht="15.6" x14ac:dyDescent="0.3">
      <c r="A70" s="10"/>
      <c r="B70" s="10"/>
      <c r="C70" s="10"/>
    </row>
    <row r="71" spans="1:3" ht="15.6" x14ac:dyDescent="0.3">
      <c r="A71" s="10"/>
      <c r="B71" s="10"/>
      <c r="C71" s="10"/>
    </row>
    <row r="72" spans="1:3" ht="15.6" x14ac:dyDescent="0.3">
      <c r="A72" s="10"/>
      <c r="B72" s="10"/>
      <c r="C72" s="10"/>
    </row>
    <row r="73" spans="1:3" ht="15.6" x14ac:dyDescent="0.3">
      <c r="A73" s="10"/>
      <c r="B73" s="10"/>
      <c r="C73" s="10"/>
    </row>
    <row r="74" spans="1:3" ht="15.6" x14ac:dyDescent="0.3">
      <c r="A74" s="10"/>
      <c r="B74" s="10"/>
      <c r="C74" s="10"/>
    </row>
    <row r="75" spans="1:3" ht="15.6" x14ac:dyDescent="0.3">
      <c r="A75" s="10"/>
      <c r="B75" s="10"/>
      <c r="C75" s="10"/>
    </row>
    <row r="76" spans="1:3" ht="15.6" x14ac:dyDescent="0.3">
      <c r="A76" s="10"/>
      <c r="B76" s="10"/>
      <c r="C76" s="10"/>
    </row>
    <row r="77" spans="1:3" ht="15.6" x14ac:dyDescent="0.3">
      <c r="A77" s="10"/>
      <c r="B77" s="10"/>
      <c r="C77" s="10"/>
    </row>
    <row r="78" spans="1:3" ht="15.6" x14ac:dyDescent="0.3">
      <c r="A78" s="10"/>
      <c r="B78" s="10"/>
      <c r="C78" s="10"/>
    </row>
    <row r="79" spans="1:3" ht="15.6" x14ac:dyDescent="0.3">
      <c r="A79" s="10"/>
      <c r="B79" s="10"/>
      <c r="C79" s="10"/>
    </row>
    <row r="80" spans="1:3" ht="15.6" x14ac:dyDescent="0.3">
      <c r="A80" s="10"/>
      <c r="B80" s="10"/>
      <c r="C80" s="10"/>
    </row>
    <row r="81" spans="1:3" ht="15.6" x14ac:dyDescent="0.3">
      <c r="A81" s="10"/>
      <c r="B81" s="10"/>
      <c r="C81" s="10"/>
    </row>
    <row r="82" spans="1:3" ht="15.6" x14ac:dyDescent="0.3">
      <c r="A82" s="10"/>
      <c r="B82" s="10"/>
      <c r="C82" s="10"/>
    </row>
    <row r="83" spans="1:3" ht="15.6" x14ac:dyDescent="0.3">
      <c r="A83" s="10"/>
      <c r="B83" s="10"/>
      <c r="C83" s="10"/>
    </row>
    <row r="84" spans="1:3" ht="15.6" x14ac:dyDescent="0.3">
      <c r="A84" s="10"/>
      <c r="B84" s="10"/>
      <c r="C84" s="10"/>
    </row>
    <row r="85" spans="1:3" ht="15.6" x14ac:dyDescent="0.3">
      <c r="A85" s="10"/>
      <c r="B85" s="10"/>
      <c r="C85" s="10"/>
    </row>
    <row r="86" spans="1:3" ht="15.6" x14ac:dyDescent="0.3">
      <c r="A86" s="10"/>
      <c r="B86" s="10"/>
      <c r="C86" s="10"/>
    </row>
    <row r="87" spans="1:3" ht="15.6" x14ac:dyDescent="0.3">
      <c r="A87" s="10"/>
      <c r="B87" s="10"/>
      <c r="C87" s="10"/>
    </row>
    <row r="88" spans="1:3" ht="15.6" x14ac:dyDescent="0.3">
      <c r="A88" s="10"/>
      <c r="B88" s="10"/>
      <c r="C88" s="10"/>
    </row>
    <row r="89" spans="1:3" ht="15.6" x14ac:dyDescent="0.3">
      <c r="A89" s="10"/>
      <c r="B89" s="10"/>
      <c r="C89" s="10"/>
    </row>
    <row r="90" spans="1:3" ht="15.6" x14ac:dyDescent="0.3">
      <c r="A90" s="10"/>
      <c r="B90" s="10"/>
      <c r="C90" s="10"/>
    </row>
    <row r="91" spans="1:3" ht="15.6" x14ac:dyDescent="0.3">
      <c r="A91" s="10"/>
      <c r="B91" s="10"/>
      <c r="C91" s="10"/>
    </row>
    <row r="92" spans="1:3" ht="15.6" x14ac:dyDescent="0.3">
      <c r="A92" s="10"/>
      <c r="B92" s="10"/>
      <c r="C92" s="10"/>
    </row>
    <row r="93" spans="1:3" ht="15.6" x14ac:dyDescent="0.3">
      <c r="A93" s="10"/>
      <c r="B93" s="10"/>
      <c r="C93" s="10"/>
    </row>
    <row r="94" spans="1:3" ht="15.6" x14ac:dyDescent="0.3">
      <c r="A94" s="10"/>
      <c r="B94" s="10"/>
      <c r="C94" s="10"/>
    </row>
    <row r="95" spans="1:3" ht="15.6" x14ac:dyDescent="0.3">
      <c r="A95" s="10"/>
      <c r="B95" s="10"/>
      <c r="C95" s="10"/>
    </row>
    <row r="96" spans="1:3" ht="15.6" x14ac:dyDescent="0.3">
      <c r="A96" s="10"/>
      <c r="B96" s="10"/>
      <c r="C96" s="10"/>
    </row>
    <row r="97" spans="1:3" ht="15.6" x14ac:dyDescent="0.3">
      <c r="A97" s="10"/>
      <c r="B97" s="10"/>
      <c r="C97" s="10"/>
    </row>
    <row r="98" spans="1:3" ht="15.6" x14ac:dyDescent="0.3">
      <c r="A98" s="10"/>
      <c r="B98" s="10"/>
      <c r="C98" s="10"/>
    </row>
    <row r="99" spans="1:3" ht="15.6" x14ac:dyDescent="0.3">
      <c r="A99" s="10"/>
      <c r="B99" s="10"/>
      <c r="C99" s="10"/>
    </row>
    <row r="100" spans="1:3" ht="15.6" x14ac:dyDescent="0.3">
      <c r="A100" s="10"/>
      <c r="B100" s="10"/>
      <c r="C100" s="10"/>
    </row>
    <row r="101" spans="1:3" ht="15.6" x14ac:dyDescent="0.3">
      <c r="A101" s="10"/>
      <c r="B101" s="10"/>
      <c r="C101" s="10"/>
    </row>
    <row r="102" spans="1:3" ht="15.6" x14ac:dyDescent="0.3">
      <c r="A102" s="10"/>
      <c r="B102" s="10"/>
      <c r="C102" s="10"/>
    </row>
    <row r="103" spans="1:3" ht="15.6" x14ac:dyDescent="0.3">
      <c r="A103" s="10"/>
      <c r="B103" s="10"/>
      <c r="C103" s="10"/>
    </row>
    <row r="104" spans="1:3" ht="15.6" x14ac:dyDescent="0.3">
      <c r="A104" s="10"/>
      <c r="B104" s="10"/>
      <c r="C104" s="10"/>
    </row>
    <row r="105" spans="1:3" ht="15.6" x14ac:dyDescent="0.3">
      <c r="A105" s="10"/>
      <c r="B105" s="10"/>
      <c r="C105" s="10"/>
    </row>
    <row r="106" spans="1:3" ht="15.6" x14ac:dyDescent="0.3">
      <c r="A106" s="10"/>
      <c r="B106" s="10"/>
      <c r="C106" s="10"/>
    </row>
    <row r="107" spans="1:3" ht="15.6" x14ac:dyDescent="0.3">
      <c r="A107" s="10"/>
      <c r="B107" s="10"/>
      <c r="C107" s="10"/>
    </row>
    <row r="108" spans="1:3" ht="15.6" x14ac:dyDescent="0.3">
      <c r="A108" s="10"/>
      <c r="B108" s="10"/>
      <c r="C108" s="10"/>
    </row>
    <row r="109" spans="1:3" ht="15.6" x14ac:dyDescent="0.3">
      <c r="A109" s="10"/>
      <c r="B109" s="10"/>
      <c r="C109" s="10"/>
    </row>
    <row r="110" spans="1:3" ht="15.6" x14ac:dyDescent="0.3">
      <c r="A110" s="10"/>
      <c r="B110" s="10"/>
      <c r="C110" s="10"/>
    </row>
    <row r="111" spans="1:3" ht="15.6" x14ac:dyDescent="0.3">
      <c r="A111" s="10"/>
      <c r="B111" s="10"/>
      <c r="C111" s="10"/>
    </row>
    <row r="112" spans="1:3" ht="15.6" x14ac:dyDescent="0.3">
      <c r="A112" s="10"/>
      <c r="B112" s="10"/>
      <c r="C112" s="10"/>
    </row>
    <row r="113" spans="1:3" ht="15.6" x14ac:dyDescent="0.3">
      <c r="A113" s="10"/>
      <c r="B113" s="10"/>
      <c r="C113" s="10"/>
    </row>
    <row r="114" spans="1:3" ht="15.6" x14ac:dyDescent="0.3">
      <c r="A114" s="10"/>
      <c r="B114" s="10"/>
      <c r="C114" s="10"/>
    </row>
    <row r="115" spans="1:3" ht="15.6" x14ac:dyDescent="0.3">
      <c r="A115" s="10"/>
      <c r="B115" s="10"/>
      <c r="C115" s="10"/>
    </row>
    <row r="116" spans="1:3" ht="15.6" x14ac:dyDescent="0.3">
      <c r="A116" s="10"/>
      <c r="B116" s="10"/>
      <c r="C116" s="10"/>
    </row>
    <row r="117" spans="1:3" ht="15.6" x14ac:dyDescent="0.3">
      <c r="A117" s="10"/>
      <c r="B117" s="10"/>
      <c r="C117" s="10"/>
    </row>
    <row r="118" spans="1:3" ht="15.6" x14ac:dyDescent="0.3">
      <c r="A118" s="10"/>
      <c r="B118" s="10"/>
      <c r="C118" s="10"/>
    </row>
    <row r="119" spans="1:3" ht="15.6" x14ac:dyDescent="0.3">
      <c r="A119" s="10"/>
      <c r="B119" s="10"/>
      <c r="C119" s="10"/>
    </row>
    <row r="120" spans="1:3" ht="15.6" x14ac:dyDescent="0.3">
      <c r="A120" s="10"/>
      <c r="B120" s="10"/>
      <c r="C120" s="10"/>
    </row>
    <row r="121" spans="1:3" ht="15.6" x14ac:dyDescent="0.3">
      <c r="A121" s="10"/>
      <c r="B121" s="10"/>
      <c r="C121" s="10"/>
    </row>
    <row r="122" spans="1:3" ht="15.6" x14ac:dyDescent="0.3">
      <c r="A122" s="10"/>
      <c r="B122" s="10"/>
      <c r="C122" s="10"/>
    </row>
    <row r="123" spans="1:3" ht="15.6" x14ac:dyDescent="0.3">
      <c r="A123" s="10"/>
      <c r="B123" s="10"/>
      <c r="C123" s="10"/>
    </row>
    <row r="124" spans="1:3" ht="15.6" x14ac:dyDescent="0.3">
      <c r="A124" s="10"/>
      <c r="B124" s="10"/>
      <c r="C124" s="10"/>
    </row>
    <row r="125" spans="1:3" ht="15.6" x14ac:dyDescent="0.3">
      <c r="A125" s="10"/>
      <c r="B125" s="10"/>
      <c r="C125" s="10"/>
    </row>
    <row r="126" spans="1:3" ht="15.6" x14ac:dyDescent="0.3">
      <c r="A126" s="10"/>
      <c r="B126" s="10"/>
      <c r="C126" s="10"/>
    </row>
    <row r="127" spans="1:3" ht="15.6" x14ac:dyDescent="0.3">
      <c r="A127" s="10"/>
      <c r="B127" s="10"/>
      <c r="C127" s="10"/>
    </row>
    <row r="128" spans="1:3" ht="15.6" x14ac:dyDescent="0.3">
      <c r="A128" s="10"/>
      <c r="B128" s="10"/>
      <c r="C128" s="10"/>
    </row>
    <row r="129" spans="1:3" ht="15.6" x14ac:dyDescent="0.3">
      <c r="A129" s="10"/>
      <c r="B129" s="10"/>
      <c r="C129" s="10"/>
    </row>
    <row r="130" spans="1:3" ht="15.6" x14ac:dyDescent="0.3">
      <c r="A130" s="10"/>
      <c r="B130" s="10"/>
      <c r="C130" s="10"/>
    </row>
    <row r="131" spans="1:3" ht="15.6" x14ac:dyDescent="0.3">
      <c r="A131" s="10"/>
      <c r="B131" s="10"/>
      <c r="C131" s="10"/>
    </row>
    <row r="132" spans="1:3" ht="15.6" x14ac:dyDescent="0.3">
      <c r="A132" s="10"/>
      <c r="B132" s="10"/>
      <c r="C132" s="10"/>
    </row>
    <row r="133" spans="1:3" ht="15.6" x14ac:dyDescent="0.3">
      <c r="A133" s="10"/>
      <c r="B133" s="10"/>
      <c r="C133" s="10"/>
    </row>
    <row r="134" spans="1:3" ht="15.6" x14ac:dyDescent="0.3">
      <c r="A134" s="10"/>
      <c r="B134" s="10"/>
      <c r="C134" s="10"/>
    </row>
    <row r="135" spans="1:3" ht="15.6" x14ac:dyDescent="0.3">
      <c r="A135" s="10"/>
      <c r="B135" s="10"/>
      <c r="C135" s="10"/>
    </row>
    <row r="136" spans="1:3" ht="15.6" x14ac:dyDescent="0.3">
      <c r="A136" s="10"/>
      <c r="B136" s="10"/>
      <c r="C136" s="10"/>
    </row>
    <row r="137" spans="1:3" ht="15.6" x14ac:dyDescent="0.3">
      <c r="A137" s="10"/>
      <c r="B137" s="10"/>
      <c r="C137" s="10"/>
    </row>
    <row r="138" spans="1:3" ht="15.6" x14ac:dyDescent="0.3">
      <c r="A138" s="10"/>
      <c r="B138" s="10"/>
      <c r="C138" s="10"/>
    </row>
    <row r="139" spans="1:3" ht="15.6" x14ac:dyDescent="0.3">
      <c r="A139" s="10"/>
      <c r="B139" s="10"/>
      <c r="C139" s="10"/>
    </row>
    <row r="140" spans="1:3" ht="15.6" x14ac:dyDescent="0.3">
      <c r="A140" s="10"/>
      <c r="B140" s="10"/>
      <c r="C140" s="10"/>
    </row>
    <row r="141" spans="1:3" ht="15.6" x14ac:dyDescent="0.3">
      <c r="A141" s="10"/>
      <c r="B141" s="10"/>
      <c r="C141" s="10"/>
    </row>
    <row r="142" spans="1:3" ht="15.6" x14ac:dyDescent="0.3">
      <c r="A142" s="10"/>
      <c r="B142" s="10"/>
      <c r="C142" s="10"/>
    </row>
    <row r="143" spans="1:3" ht="15.6" x14ac:dyDescent="0.3">
      <c r="A143" s="10"/>
      <c r="B143" s="10"/>
      <c r="C143" s="10"/>
    </row>
    <row r="144" spans="1:3" ht="15.6" x14ac:dyDescent="0.3">
      <c r="A144" s="10"/>
      <c r="B144" s="10"/>
      <c r="C144" s="10"/>
    </row>
    <row r="145" spans="1:3" ht="15.6" x14ac:dyDescent="0.3">
      <c r="A145" s="10"/>
      <c r="B145" s="10"/>
      <c r="C145" s="10"/>
    </row>
    <row r="146" spans="1:3" ht="15.6" x14ac:dyDescent="0.3">
      <c r="A146" s="10"/>
      <c r="B146" s="10"/>
      <c r="C146" s="10"/>
    </row>
    <row r="147" spans="1:3" ht="15.6" x14ac:dyDescent="0.3">
      <c r="A147" s="10"/>
      <c r="B147" s="10"/>
      <c r="C147" s="10"/>
    </row>
    <row r="148" spans="1:3" ht="15.6" x14ac:dyDescent="0.3">
      <c r="A148" s="10"/>
      <c r="B148" s="10"/>
      <c r="C148" s="10"/>
    </row>
    <row r="149" spans="1:3" ht="15.6" x14ac:dyDescent="0.3">
      <c r="A149" s="10"/>
      <c r="B149" s="10"/>
      <c r="C149" s="10"/>
    </row>
    <row r="150" spans="1:3" ht="15.6" x14ac:dyDescent="0.3">
      <c r="A150" s="10"/>
      <c r="B150" s="10"/>
      <c r="C150" s="10"/>
    </row>
    <row r="151" spans="1:3" ht="15.6" x14ac:dyDescent="0.3">
      <c r="A151" s="10"/>
      <c r="B151" s="10"/>
      <c r="C151" s="10"/>
    </row>
    <row r="152" spans="1:3" ht="15.6" x14ac:dyDescent="0.3">
      <c r="A152" s="10"/>
      <c r="B152" s="10"/>
      <c r="C152" s="10"/>
    </row>
    <row r="153" spans="1:3" ht="15.6" x14ac:dyDescent="0.3">
      <c r="A153" s="10"/>
      <c r="B153" s="10"/>
      <c r="C153" s="10"/>
    </row>
    <row r="154" spans="1:3" ht="15.6" x14ac:dyDescent="0.3">
      <c r="A154" s="10"/>
      <c r="B154" s="10"/>
      <c r="C154" s="10"/>
    </row>
    <row r="155" spans="1:3" ht="15.6" x14ac:dyDescent="0.3">
      <c r="A155" s="10"/>
      <c r="B155" s="10"/>
      <c r="C155" s="10"/>
    </row>
    <row r="156" spans="1:3" ht="15.6" x14ac:dyDescent="0.3">
      <c r="A156" s="10"/>
      <c r="B156" s="10"/>
      <c r="C156" s="10"/>
    </row>
    <row r="157" spans="1:3" ht="15.6" x14ac:dyDescent="0.3">
      <c r="A157" s="10"/>
      <c r="B157" s="10"/>
      <c r="C157" s="10"/>
    </row>
    <row r="158" spans="1:3" ht="15.6" x14ac:dyDescent="0.3">
      <c r="A158" s="10"/>
      <c r="B158" s="10"/>
      <c r="C158" s="10"/>
    </row>
    <row r="159" spans="1:3" ht="15.6" x14ac:dyDescent="0.3">
      <c r="A159" s="10"/>
      <c r="B159" s="10"/>
      <c r="C159" s="10"/>
    </row>
    <row r="160" spans="1:3" ht="15.6" x14ac:dyDescent="0.3">
      <c r="A160" s="10"/>
      <c r="B160" s="10"/>
      <c r="C160" s="10"/>
    </row>
    <row r="161" spans="1:3" ht="15.6" x14ac:dyDescent="0.3">
      <c r="A161" s="10"/>
      <c r="B161" s="10"/>
      <c r="C161" s="10"/>
    </row>
    <row r="162" spans="1:3" ht="15.6" x14ac:dyDescent="0.3">
      <c r="A162" s="10"/>
      <c r="B162" s="10"/>
      <c r="C162" s="10"/>
    </row>
    <row r="163" spans="1:3" ht="15.6" x14ac:dyDescent="0.3">
      <c r="A163" s="10"/>
      <c r="B163" s="10"/>
      <c r="C163" s="10"/>
    </row>
    <row r="164" spans="1:3" ht="15.6" x14ac:dyDescent="0.3">
      <c r="A164" s="10"/>
      <c r="B164" s="10"/>
      <c r="C164" s="10"/>
    </row>
    <row r="165" spans="1:3" ht="15.6" x14ac:dyDescent="0.3">
      <c r="A165" s="10"/>
      <c r="B165" s="10"/>
      <c r="C165" s="10"/>
    </row>
    <row r="166" spans="1:3" ht="15.6" x14ac:dyDescent="0.3">
      <c r="A166" s="10"/>
      <c r="B166" s="10"/>
      <c r="C166" s="10"/>
    </row>
    <row r="167" spans="1:3" ht="15.6" x14ac:dyDescent="0.3">
      <c r="A167" s="10"/>
      <c r="B167" s="10"/>
      <c r="C167" s="10"/>
    </row>
    <row r="168" spans="1:3" ht="15.6" x14ac:dyDescent="0.3">
      <c r="A168" s="10"/>
      <c r="B168" s="10"/>
      <c r="C168" s="10"/>
    </row>
    <row r="169" spans="1:3" ht="15.6" x14ac:dyDescent="0.3">
      <c r="A169" s="10"/>
      <c r="B169" s="10"/>
      <c r="C169" s="10"/>
    </row>
    <row r="170" spans="1:3" ht="15.6" x14ac:dyDescent="0.3">
      <c r="A170" s="10"/>
      <c r="B170" s="10"/>
      <c r="C170" s="10"/>
    </row>
    <row r="171" spans="1:3" ht="15.6" x14ac:dyDescent="0.3">
      <c r="A171" s="10"/>
      <c r="B171" s="10"/>
      <c r="C171" s="10"/>
    </row>
    <row r="172" spans="1:3" ht="15.6" x14ac:dyDescent="0.3">
      <c r="A172" s="10"/>
      <c r="B172" s="10"/>
      <c r="C172" s="10"/>
    </row>
    <row r="173" spans="1:3" ht="15.6" x14ac:dyDescent="0.3">
      <c r="A173" s="10"/>
      <c r="B173" s="10"/>
      <c r="C173" s="10"/>
    </row>
    <row r="174" spans="1:3" ht="15.6" x14ac:dyDescent="0.3">
      <c r="A174" s="10"/>
      <c r="B174" s="10"/>
      <c r="C174" s="10"/>
    </row>
    <row r="175" spans="1:3" ht="15.6" x14ac:dyDescent="0.3">
      <c r="A175" s="10"/>
      <c r="B175" s="10"/>
      <c r="C175" s="10"/>
    </row>
    <row r="176" spans="1:3" ht="15.6" x14ac:dyDescent="0.3">
      <c r="A176" s="10"/>
      <c r="B176" s="10"/>
      <c r="C176" s="10"/>
    </row>
    <row r="177" spans="1:3" ht="15.6" x14ac:dyDescent="0.3">
      <c r="A177" s="10"/>
      <c r="B177" s="10"/>
      <c r="C177" s="10"/>
    </row>
    <row r="178" spans="1:3" ht="15.6" x14ac:dyDescent="0.3">
      <c r="A178" s="10"/>
      <c r="B178" s="10"/>
      <c r="C178" s="10"/>
    </row>
    <row r="179" spans="1:3" ht="15.6" x14ac:dyDescent="0.3">
      <c r="A179" s="10"/>
      <c r="B179" s="10"/>
      <c r="C179" s="10"/>
    </row>
    <row r="180" spans="1:3" ht="15.6" x14ac:dyDescent="0.3">
      <c r="A180" s="10"/>
      <c r="B180" s="10"/>
      <c r="C180" s="10"/>
    </row>
    <row r="181" spans="1:3" ht="15.6" x14ac:dyDescent="0.3">
      <c r="A181" s="10"/>
      <c r="B181" s="10"/>
      <c r="C181" s="10"/>
    </row>
    <row r="182" spans="1:3" ht="15.6" x14ac:dyDescent="0.3">
      <c r="A182" s="10"/>
      <c r="B182" s="10"/>
      <c r="C182" s="10"/>
    </row>
    <row r="183" spans="1:3" ht="15.6" x14ac:dyDescent="0.3">
      <c r="A183" s="10"/>
      <c r="B183" s="10"/>
      <c r="C183" s="10"/>
    </row>
    <row r="184" spans="1:3" ht="15.6" x14ac:dyDescent="0.3">
      <c r="A184" s="10"/>
      <c r="B184" s="10"/>
      <c r="C184" s="10"/>
    </row>
    <row r="185" spans="1:3" ht="15.6" x14ac:dyDescent="0.3">
      <c r="A185" s="10"/>
      <c r="B185" s="10"/>
      <c r="C185" s="10"/>
    </row>
    <row r="186" spans="1:3" ht="15.6" x14ac:dyDescent="0.3">
      <c r="A186" s="10"/>
      <c r="B186" s="10"/>
      <c r="C186" s="10"/>
    </row>
    <row r="187" spans="1:3" ht="15.6" x14ac:dyDescent="0.3">
      <c r="A187" s="10"/>
      <c r="B187" s="10"/>
      <c r="C187" s="10"/>
    </row>
    <row r="188" spans="1:3" ht="15.6" x14ac:dyDescent="0.3">
      <c r="A188" s="10"/>
      <c r="B188" s="10"/>
      <c r="C188" s="10"/>
    </row>
    <row r="189" spans="1:3" ht="15.6" x14ac:dyDescent="0.3">
      <c r="A189" s="10"/>
      <c r="B189" s="10"/>
      <c r="C189" s="10"/>
    </row>
    <row r="190" spans="1:3" ht="15.6" x14ac:dyDescent="0.3">
      <c r="A190" s="10"/>
      <c r="B190" s="10"/>
      <c r="C190" s="10"/>
    </row>
    <row r="191" spans="1:3" ht="15.6" x14ac:dyDescent="0.3">
      <c r="A191" s="10"/>
      <c r="B191" s="10"/>
      <c r="C191" s="10"/>
    </row>
    <row r="192" spans="1:3" ht="15.6" x14ac:dyDescent="0.3">
      <c r="A192" s="10"/>
      <c r="B192" s="10"/>
      <c r="C192" s="10"/>
    </row>
    <row r="193" spans="1:3" ht="15.6" x14ac:dyDescent="0.3">
      <c r="A193" s="10"/>
      <c r="B193" s="10"/>
      <c r="C193" s="10"/>
    </row>
    <row r="194" spans="1:3" ht="15.6" x14ac:dyDescent="0.3">
      <c r="A194" s="10"/>
      <c r="B194" s="10"/>
      <c r="C194" s="10"/>
    </row>
    <row r="195" spans="1:3" ht="15.6" x14ac:dyDescent="0.3">
      <c r="A195" s="10"/>
      <c r="B195" s="10"/>
      <c r="C195" s="10"/>
    </row>
    <row r="196" spans="1:3" ht="15.6" x14ac:dyDescent="0.3">
      <c r="A196" s="10"/>
      <c r="B196" s="10"/>
      <c r="C196" s="10"/>
    </row>
    <row r="197" spans="1:3" ht="15.6" x14ac:dyDescent="0.3">
      <c r="A197" s="10"/>
      <c r="B197" s="10"/>
      <c r="C197" s="10"/>
    </row>
    <row r="198" spans="1:3" ht="15.6" x14ac:dyDescent="0.3">
      <c r="A198" s="10"/>
      <c r="B198" s="10"/>
      <c r="C198" s="10"/>
    </row>
    <row r="199" spans="1:3" ht="15.6" x14ac:dyDescent="0.3">
      <c r="A199" s="10"/>
      <c r="B199" s="10"/>
      <c r="C199" s="10"/>
    </row>
    <row r="200" spans="1:3" ht="15.6" x14ac:dyDescent="0.3">
      <c r="A200" s="10"/>
      <c r="B200" s="10"/>
      <c r="C200" s="10"/>
    </row>
    <row r="201" spans="1:3" ht="15.6" x14ac:dyDescent="0.3">
      <c r="A201" s="10"/>
      <c r="B201" s="10"/>
      <c r="C201" s="10"/>
    </row>
    <row r="202" spans="1:3" ht="15.6" x14ac:dyDescent="0.3">
      <c r="A202" s="10"/>
      <c r="B202" s="10"/>
      <c r="C202" s="10"/>
    </row>
    <row r="203" spans="1:3" ht="15.6" x14ac:dyDescent="0.3">
      <c r="A203" s="10"/>
      <c r="B203" s="10"/>
      <c r="C203" s="10"/>
    </row>
    <row r="204" spans="1:3" ht="15.6" x14ac:dyDescent="0.3">
      <c r="A204" s="10"/>
      <c r="B204" s="10"/>
      <c r="C204" s="10"/>
    </row>
    <row r="205" spans="1:3" ht="15.6" x14ac:dyDescent="0.3">
      <c r="A205" s="10"/>
      <c r="B205" s="10"/>
      <c r="C205" s="10"/>
    </row>
    <row r="206" spans="1:3" ht="15.6" x14ac:dyDescent="0.3">
      <c r="A206" s="10"/>
      <c r="B206" s="10"/>
      <c r="C206" s="10"/>
    </row>
    <row r="207" spans="1:3" ht="15.6" x14ac:dyDescent="0.3">
      <c r="A207" s="10"/>
      <c r="B207" s="10"/>
      <c r="C207" s="10"/>
    </row>
    <row r="208" spans="1:3" ht="15.6" x14ac:dyDescent="0.3">
      <c r="A208" s="10"/>
      <c r="B208" s="10"/>
      <c r="C208" s="10"/>
    </row>
    <row r="209" spans="1:3" ht="15.6" x14ac:dyDescent="0.3">
      <c r="A209" s="10"/>
      <c r="B209" s="10"/>
      <c r="C209" s="10"/>
    </row>
    <row r="210" spans="1:3" ht="15.6" x14ac:dyDescent="0.3">
      <c r="A210" s="10"/>
      <c r="B210" s="10"/>
      <c r="C210" s="10"/>
    </row>
    <row r="211" spans="1:3" ht="15.6" x14ac:dyDescent="0.3">
      <c r="A211" s="10"/>
      <c r="B211" s="10"/>
      <c r="C211" s="10"/>
    </row>
    <row r="212" spans="1:3" ht="15.6" x14ac:dyDescent="0.3">
      <c r="A212" s="10"/>
      <c r="B212" s="10"/>
      <c r="C212" s="10"/>
    </row>
    <row r="213" spans="1:3" ht="15.6" x14ac:dyDescent="0.3">
      <c r="A213" s="10"/>
      <c r="B213" s="10"/>
      <c r="C213" s="10"/>
    </row>
    <row r="214" spans="1:3" ht="15.6" x14ac:dyDescent="0.3">
      <c r="A214" s="10"/>
      <c r="B214" s="10"/>
      <c r="C214" s="10"/>
    </row>
    <row r="215" spans="1:3" ht="15.6" x14ac:dyDescent="0.3">
      <c r="A215" s="10"/>
      <c r="B215" s="10"/>
      <c r="C215" s="10"/>
    </row>
    <row r="216" spans="1:3" ht="15.6" x14ac:dyDescent="0.3">
      <c r="A216" s="10"/>
      <c r="B216" s="10"/>
      <c r="C216" s="10"/>
    </row>
    <row r="217" spans="1:3" ht="15.6" x14ac:dyDescent="0.3">
      <c r="A217" s="10"/>
      <c r="B217" s="10"/>
      <c r="C217" s="10"/>
    </row>
    <row r="218" spans="1:3" ht="15.6" x14ac:dyDescent="0.3">
      <c r="A218" s="10"/>
      <c r="B218" s="10"/>
      <c r="C218" s="10"/>
    </row>
    <row r="219" spans="1:3" ht="15.6" x14ac:dyDescent="0.3">
      <c r="A219" s="10"/>
      <c r="B219" s="10"/>
      <c r="C219" s="10"/>
    </row>
    <row r="220" spans="1:3" ht="15.6" x14ac:dyDescent="0.3">
      <c r="A220" s="10"/>
      <c r="B220" s="10"/>
      <c r="C220" s="10"/>
    </row>
    <row r="221" spans="1:3" ht="15.6" x14ac:dyDescent="0.3">
      <c r="A221" s="10"/>
      <c r="B221" s="10"/>
      <c r="C221" s="10"/>
    </row>
    <row r="222" spans="1:3" ht="15.6" x14ac:dyDescent="0.3">
      <c r="A222" s="10"/>
      <c r="B222" s="10"/>
      <c r="C222" s="10"/>
    </row>
    <row r="223" spans="1:3" ht="15.6" x14ac:dyDescent="0.3">
      <c r="A223" s="10"/>
      <c r="B223" s="10"/>
      <c r="C223" s="10"/>
    </row>
    <row r="224" spans="1:3" ht="15.6" x14ac:dyDescent="0.3">
      <c r="A224" s="10"/>
      <c r="B224" s="10"/>
      <c r="C224" s="10"/>
    </row>
    <row r="225" spans="1:3" ht="15.6" x14ac:dyDescent="0.3">
      <c r="A225" s="10"/>
      <c r="B225" s="10"/>
      <c r="C225" s="10"/>
    </row>
    <row r="226" spans="1:3" ht="15.6" x14ac:dyDescent="0.3">
      <c r="A226" s="10"/>
      <c r="B226" s="10"/>
      <c r="C226" s="10"/>
    </row>
    <row r="227" spans="1:3" ht="15.6" x14ac:dyDescent="0.3">
      <c r="A227" s="10"/>
      <c r="B227" s="10"/>
      <c r="C227" s="10"/>
    </row>
    <row r="228" spans="1:3" ht="15.6" x14ac:dyDescent="0.3">
      <c r="A228" s="10"/>
      <c r="B228" s="10"/>
      <c r="C228" s="10"/>
    </row>
    <row r="229" spans="1:3" ht="15.6" x14ac:dyDescent="0.3">
      <c r="A229" s="10"/>
      <c r="B229" s="10"/>
      <c r="C229" s="10"/>
    </row>
    <row r="230" spans="1:3" ht="15.6" x14ac:dyDescent="0.3">
      <c r="A230" s="10"/>
      <c r="B230" s="10"/>
      <c r="C230" s="10"/>
    </row>
    <row r="231" spans="1:3" ht="15.6" x14ac:dyDescent="0.3">
      <c r="A231" s="10"/>
      <c r="B231" s="10"/>
      <c r="C231" s="10"/>
    </row>
    <row r="232" spans="1:3" ht="15.6" x14ac:dyDescent="0.3">
      <c r="A232" s="10"/>
      <c r="B232" s="10"/>
      <c r="C232" s="10"/>
    </row>
    <row r="233" spans="1:3" ht="15.6" x14ac:dyDescent="0.3">
      <c r="A233" s="10"/>
      <c r="B233" s="10"/>
      <c r="C233" s="10"/>
    </row>
    <row r="234" spans="1:3" ht="15.6" x14ac:dyDescent="0.3">
      <c r="A234" s="10"/>
      <c r="B234" s="10"/>
      <c r="C234" s="10"/>
    </row>
    <row r="235" spans="1:3" ht="15.6" x14ac:dyDescent="0.3">
      <c r="A235" s="10"/>
      <c r="B235" s="10"/>
      <c r="C235" s="10"/>
    </row>
    <row r="236" spans="1:3" ht="15.6" x14ac:dyDescent="0.3">
      <c r="A236" s="10"/>
      <c r="B236" s="10"/>
      <c r="C236" s="10"/>
    </row>
    <row r="237" spans="1:3" ht="15.6" x14ac:dyDescent="0.3">
      <c r="A237" s="10"/>
      <c r="B237" s="10"/>
      <c r="C237" s="10"/>
    </row>
    <row r="238" spans="1:3" ht="15.6" x14ac:dyDescent="0.3">
      <c r="A238" s="10"/>
      <c r="B238" s="10"/>
      <c r="C238" s="10"/>
    </row>
    <row r="239" spans="1:3" ht="15.6" x14ac:dyDescent="0.3">
      <c r="A239" s="10"/>
      <c r="B239" s="10"/>
      <c r="C239" s="10"/>
    </row>
    <row r="240" spans="1:3" ht="15.6" x14ac:dyDescent="0.3">
      <c r="A240" s="10"/>
      <c r="B240" s="10"/>
      <c r="C240" s="10"/>
    </row>
    <row r="241" spans="1:3" ht="15.6" x14ac:dyDescent="0.3">
      <c r="A241" s="10"/>
      <c r="B241" s="10"/>
      <c r="C241" s="10"/>
    </row>
    <row r="242" spans="1:3" ht="15.6" x14ac:dyDescent="0.3">
      <c r="A242" s="10"/>
      <c r="B242" s="10"/>
      <c r="C242" s="10"/>
    </row>
    <row r="243" spans="1:3" ht="15.6" x14ac:dyDescent="0.3">
      <c r="A243" s="10"/>
      <c r="B243" s="10"/>
      <c r="C243" s="10"/>
    </row>
    <row r="244" spans="1:3" ht="15.6" x14ac:dyDescent="0.3">
      <c r="A244" s="10"/>
      <c r="B244" s="10"/>
      <c r="C244" s="10"/>
    </row>
    <row r="245" spans="1:3" ht="15.6" x14ac:dyDescent="0.3">
      <c r="A245" s="10"/>
      <c r="B245" s="10"/>
      <c r="C245" s="10"/>
    </row>
    <row r="246" spans="1:3" ht="15.6" x14ac:dyDescent="0.3">
      <c r="A246" s="10"/>
      <c r="B246" s="10"/>
      <c r="C246" s="10"/>
    </row>
    <row r="247" spans="1:3" ht="15.6" x14ac:dyDescent="0.3">
      <c r="A247" s="10"/>
      <c r="B247" s="10"/>
      <c r="C247" s="10"/>
    </row>
    <row r="248" spans="1:3" ht="15.6" x14ac:dyDescent="0.3">
      <c r="A248" s="10"/>
      <c r="B248" s="10"/>
      <c r="C248" s="10"/>
    </row>
    <row r="249" spans="1:3" ht="15.6" x14ac:dyDescent="0.3">
      <c r="A249" s="10"/>
      <c r="B249" s="10"/>
      <c r="C249" s="10"/>
    </row>
    <row r="250" spans="1:3" ht="15.6" x14ac:dyDescent="0.3">
      <c r="A250" s="10"/>
      <c r="B250" s="10"/>
      <c r="C250" s="10"/>
    </row>
    <row r="251" spans="1:3" ht="15.6" x14ac:dyDescent="0.3">
      <c r="A251" s="10"/>
      <c r="B251" s="10"/>
      <c r="C251" s="10"/>
    </row>
    <row r="252" spans="1:3" ht="15.6" x14ac:dyDescent="0.3">
      <c r="A252" s="10"/>
      <c r="B252" s="10"/>
      <c r="C252" s="10"/>
    </row>
    <row r="253" spans="1:3" ht="15.6" x14ac:dyDescent="0.3">
      <c r="A253" s="10"/>
      <c r="B253" s="10"/>
      <c r="C253" s="10"/>
    </row>
    <row r="254" spans="1:3" ht="15.6" x14ac:dyDescent="0.3">
      <c r="A254" s="10"/>
      <c r="B254" s="10"/>
      <c r="C254" s="10"/>
    </row>
    <row r="255" spans="1:3" ht="15.6" x14ac:dyDescent="0.3">
      <c r="A255" s="10"/>
      <c r="B255" s="10"/>
      <c r="C255" s="10"/>
    </row>
    <row r="256" spans="1:3" ht="15.6" x14ac:dyDescent="0.3">
      <c r="A256" s="10"/>
      <c r="B256" s="10"/>
      <c r="C256" s="10"/>
    </row>
    <row r="257" spans="1:3" ht="15.6" x14ac:dyDescent="0.3">
      <c r="A257" s="10"/>
      <c r="B257" s="10"/>
      <c r="C257" s="10"/>
    </row>
    <row r="258" spans="1:3" ht="15.6" x14ac:dyDescent="0.3">
      <c r="A258" s="10"/>
      <c r="B258" s="10"/>
      <c r="C258" s="10"/>
    </row>
    <row r="259" spans="1:3" ht="15.6" x14ac:dyDescent="0.3">
      <c r="A259" s="10"/>
      <c r="B259" s="10"/>
      <c r="C259" s="10"/>
    </row>
    <row r="260" spans="1:3" ht="15.6" x14ac:dyDescent="0.3">
      <c r="A260" s="10"/>
      <c r="B260" s="10"/>
      <c r="C260" s="10"/>
    </row>
    <row r="261" spans="1:3" ht="15.6" x14ac:dyDescent="0.3">
      <c r="A261" s="10"/>
      <c r="B261" s="10"/>
      <c r="C261" s="10"/>
    </row>
    <row r="262" spans="1:3" ht="15.6" x14ac:dyDescent="0.3">
      <c r="A262" s="10"/>
      <c r="B262" s="10"/>
      <c r="C262" s="10"/>
    </row>
    <row r="263" spans="1:3" ht="15.6" x14ac:dyDescent="0.3">
      <c r="A263" s="10"/>
      <c r="B263" s="10"/>
      <c r="C263" s="10"/>
    </row>
    <row r="264" spans="1:3" ht="15.6" x14ac:dyDescent="0.3">
      <c r="A264" s="10"/>
      <c r="B264" s="10"/>
      <c r="C264" s="10"/>
    </row>
    <row r="265" spans="1:3" ht="15.6" x14ac:dyDescent="0.3">
      <c r="A265" s="10"/>
      <c r="B265" s="10"/>
      <c r="C265" s="10"/>
    </row>
    <row r="266" spans="1:3" ht="15.6" x14ac:dyDescent="0.3">
      <c r="A266" s="10"/>
      <c r="B266" s="10"/>
      <c r="C266" s="10"/>
    </row>
    <row r="267" spans="1:3" ht="15.6" x14ac:dyDescent="0.3">
      <c r="A267" s="10"/>
      <c r="B267" s="10"/>
      <c r="C267" s="10"/>
    </row>
    <row r="268" spans="1:3" ht="15.6" x14ac:dyDescent="0.3">
      <c r="A268" s="10"/>
      <c r="B268" s="10"/>
      <c r="C268" s="10"/>
    </row>
    <row r="269" spans="1:3" ht="15.6" x14ac:dyDescent="0.3">
      <c r="A269" s="10"/>
      <c r="B269" s="10"/>
      <c r="C269" s="10"/>
    </row>
    <row r="270" spans="1:3" ht="15.6" x14ac:dyDescent="0.3">
      <c r="A270" s="10"/>
      <c r="B270" s="10"/>
      <c r="C270" s="10"/>
    </row>
    <row r="271" spans="1:3" ht="15.6" x14ac:dyDescent="0.3">
      <c r="A271" s="10"/>
      <c r="B271" s="10"/>
      <c r="C271" s="10"/>
    </row>
    <row r="272" spans="1:3" ht="15.6" x14ac:dyDescent="0.3">
      <c r="A272" s="10"/>
      <c r="B272" s="10"/>
      <c r="C272" s="10"/>
    </row>
    <row r="273" spans="1:3" ht="15.6" x14ac:dyDescent="0.3">
      <c r="A273" s="10"/>
      <c r="B273" s="10"/>
      <c r="C273" s="10"/>
    </row>
    <row r="274" spans="1:3" ht="15.6" x14ac:dyDescent="0.3">
      <c r="A274" s="10"/>
      <c r="B274" s="10"/>
      <c r="C274" s="10"/>
    </row>
    <row r="275" spans="1:3" ht="15.6" x14ac:dyDescent="0.3">
      <c r="A275" s="10"/>
      <c r="B275" s="10"/>
      <c r="C275" s="10"/>
    </row>
    <row r="276" spans="1:3" ht="15.6" x14ac:dyDescent="0.3">
      <c r="A276" s="10"/>
      <c r="B276" s="10"/>
      <c r="C276" s="10"/>
    </row>
    <row r="277" spans="1:3" ht="15.6" x14ac:dyDescent="0.3">
      <c r="A277" s="10"/>
      <c r="B277" s="10"/>
      <c r="C277" s="10"/>
    </row>
    <row r="278" spans="1:3" ht="15.6" x14ac:dyDescent="0.3">
      <c r="A278" s="10"/>
      <c r="B278" s="10"/>
      <c r="C278" s="10"/>
    </row>
    <row r="279" spans="1:3" ht="15.6" x14ac:dyDescent="0.3">
      <c r="A279" s="10"/>
      <c r="B279" s="10"/>
      <c r="C279" s="10"/>
    </row>
    <row r="280" spans="1:3" ht="15.6" x14ac:dyDescent="0.3">
      <c r="A280" s="10"/>
      <c r="B280" s="10"/>
      <c r="C280" s="10"/>
    </row>
    <row r="281" spans="1:3" ht="15.6" x14ac:dyDescent="0.3">
      <c r="A281" s="10"/>
      <c r="B281" s="10"/>
      <c r="C281" s="10"/>
    </row>
    <row r="282" spans="1:3" ht="15.6" x14ac:dyDescent="0.3">
      <c r="A282" s="10"/>
      <c r="B282" s="10"/>
      <c r="C282" s="10"/>
    </row>
    <row r="283" spans="1:3" ht="15.6" x14ac:dyDescent="0.3">
      <c r="A283" s="10"/>
      <c r="B283" s="10"/>
      <c r="C283" s="10"/>
    </row>
    <row r="284" spans="1:3" ht="15.6" x14ac:dyDescent="0.3">
      <c r="A284" s="10"/>
      <c r="B284" s="10"/>
      <c r="C284" s="10"/>
    </row>
    <row r="285" spans="1:3" ht="15.6" x14ac:dyDescent="0.3">
      <c r="A285" s="10"/>
      <c r="B285" s="10"/>
      <c r="C285" s="10"/>
    </row>
    <row r="286" spans="1:3" ht="15.6" x14ac:dyDescent="0.3">
      <c r="A286" s="10"/>
      <c r="B286" s="10"/>
      <c r="C286" s="10"/>
    </row>
    <row r="287" spans="1:3" ht="15.6" x14ac:dyDescent="0.3">
      <c r="A287" s="10"/>
      <c r="B287" s="10"/>
      <c r="C287" s="10"/>
    </row>
    <row r="288" spans="1:3" ht="15.6" x14ac:dyDescent="0.3">
      <c r="A288" s="10"/>
      <c r="B288" s="10"/>
      <c r="C288" s="10"/>
    </row>
    <row r="289" spans="1:3" ht="15.6" x14ac:dyDescent="0.3">
      <c r="A289" s="10"/>
      <c r="B289" s="10"/>
      <c r="C289" s="10"/>
    </row>
    <row r="290" spans="1:3" ht="15.6" x14ac:dyDescent="0.3">
      <c r="A290" s="10"/>
      <c r="B290" s="10"/>
      <c r="C290" s="10"/>
    </row>
    <row r="291" spans="1:3" ht="15.6" x14ac:dyDescent="0.3">
      <c r="A291" s="10"/>
      <c r="B291" s="10"/>
      <c r="C291" s="10"/>
    </row>
    <row r="292" spans="1:3" ht="15.6" x14ac:dyDescent="0.3">
      <c r="A292" s="10"/>
      <c r="B292" s="10"/>
      <c r="C292" s="10"/>
    </row>
    <row r="293" spans="1:3" ht="15.6" x14ac:dyDescent="0.3">
      <c r="A293" s="10"/>
      <c r="B293" s="10"/>
      <c r="C293" s="10"/>
    </row>
    <row r="294" spans="1:3" ht="15.6" x14ac:dyDescent="0.3">
      <c r="A294" s="10"/>
      <c r="B294" s="10"/>
      <c r="C294" s="10"/>
    </row>
    <row r="295" spans="1:3" ht="15.6" x14ac:dyDescent="0.3">
      <c r="A295" s="10"/>
      <c r="B295" s="10"/>
      <c r="C295" s="10"/>
    </row>
    <row r="296" spans="1:3" ht="15.6" x14ac:dyDescent="0.3">
      <c r="A296" s="10"/>
      <c r="B296" s="10"/>
      <c r="C296" s="10"/>
    </row>
    <row r="297" spans="1:3" ht="15.6" x14ac:dyDescent="0.3">
      <c r="A297" s="10"/>
      <c r="B297" s="10"/>
      <c r="C297" s="10"/>
    </row>
    <row r="298" spans="1:3" ht="15.6" x14ac:dyDescent="0.3">
      <c r="A298" s="10"/>
      <c r="B298" s="10"/>
      <c r="C298" s="10"/>
    </row>
    <row r="299" spans="1:3" ht="15.6" x14ac:dyDescent="0.3">
      <c r="A299" s="10"/>
      <c r="B299" s="10"/>
      <c r="C299" s="10"/>
    </row>
    <row r="300" spans="1:3" ht="15.6" x14ac:dyDescent="0.3">
      <c r="A300" s="10"/>
      <c r="B300" s="10"/>
      <c r="C300" s="10"/>
    </row>
    <row r="301" spans="1:3" ht="15.6" x14ac:dyDescent="0.3">
      <c r="A301" s="10"/>
      <c r="B301" s="10"/>
      <c r="C301" s="10"/>
    </row>
    <row r="302" spans="1:3" ht="15.6" x14ac:dyDescent="0.3">
      <c r="A302" s="10"/>
      <c r="B302" s="10"/>
      <c r="C302" s="10"/>
    </row>
    <row r="303" spans="1:3" ht="15.6" x14ac:dyDescent="0.3">
      <c r="A303" s="10"/>
      <c r="B303" s="10"/>
      <c r="C303" s="10"/>
    </row>
    <row r="304" spans="1:3" ht="15.6" x14ac:dyDescent="0.3">
      <c r="A304" s="10"/>
      <c r="B304" s="10"/>
      <c r="C304" s="10"/>
    </row>
    <row r="305" spans="1:3" ht="15.6" x14ac:dyDescent="0.3">
      <c r="A305" s="10"/>
      <c r="B305" s="10"/>
      <c r="C305" s="10"/>
    </row>
    <row r="306" spans="1:3" ht="15.6" x14ac:dyDescent="0.3">
      <c r="A306" s="10"/>
      <c r="B306" s="10"/>
      <c r="C306" s="10"/>
    </row>
    <row r="307" spans="1:3" ht="15.6" x14ac:dyDescent="0.3">
      <c r="A307" s="10"/>
      <c r="B307" s="10"/>
      <c r="C307" s="10"/>
    </row>
    <row r="308" spans="1:3" ht="15.6" x14ac:dyDescent="0.3">
      <c r="A308" s="10"/>
      <c r="B308" s="10"/>
      <c r="C308" s="10"/>
    </row>
    <row r="309" spans="1:3" ht="15.6" x14ac:dyDescent="0.3">
      <c r="A309" s="10"/>
      <c r="B309" s="10"/>
      <c r="C309" s="10"/>
    </row>
    <row r="310" spans="1:3" ht="15.6" x14ac:dyDescent="0.3">
      <c r="A310" s="10"/>
      <c r="B310" s="10"/>
      <c r="C310" s="10"/>
    </row>
    <row r="311" spans="1:3" ht="15.6" x14ac:dyDescent="0.3">
      <c r="A311" s="10"/>
      <c r="B311" s="10"/>
      <c r="C311" s="10"/>
    </row>
    <row r="312" spans="1:3" ht="15.6" x14ac:dyDescent="0.3">
      <c r="A312" s="10"/>
      <c r="B312" s="10"/>
      <c r="C312" s="10"/>
    </row>
    <row r="313" spans="1:3" ht="15.6" x14ac:dyDescent="0.3">
      <c r="A313" s="10"/>
      <c r="B313" s="10"/>
      <c r="C313" s="10"/>
    </row>
    <row r="314" spans="1:3" ht="15.6" x14ac:dyDescent="0.3">
      <c r="A314" s="10"/>
      <c r="B314" s="10"/>
      <c r="C314" s="10"/>
    </row>
    <row r="315" spans="1:3" ht="15.6" x14ac:dyDescent="0.3">
      <c r="A315" s="10"/>
      <c r="B315" s="10"/>
      <c r="C315" s="10"/>
    </row>
    <row r="316" spans="1:3" ht="15.6" x14ac:dyDescent="0.3">
      <c r="A316" s="10"/>
      <c r="B316" s="10"/>
      <c r="C316" s="10"/>
    </row>
    <row r="317" spans="1:3" ht="15.6" x14ac:dyDescent="0.3">
      <c r="A317" s="10"/>
      <c r="B317" s="10"/>
      <c r="C317" s="10"/>
    </row>
    <row r="318" spans="1:3" ht="15.6" x14ac:dyDescent="0.3">
      <c r="A318" s="10"/>
      <c r="B318" s="10"/>
      <c r="C318" s="10"/>
    </row>
    <row r="319" spans="1:3" ht="15.6" x14ac:dyDescent="0.3">
      <c r="A319" s="10"/>
      <c r="B319" s="10"/>
      <c r="C319" s="10"/>
    </row>
    <row r="320" spans="1:3" ht="15.6" x14ac:dyDescent="0.3">
      <c r="A320" s="10"/>
      <c r="B320" s="10"/>
      <c r="C320" s="10"/>
    </row>
    <row r="321" spans="1:3" ht="15.6" x14ac:dyDescent="0.3">
      <c r="A321" s="10"/>
      <c r="B321" s="10"/>
      <c r="C321" s="10"/>
    </row>
    <row r="322" spans="1:3" ht="15.6" x14ac:dyDescent="0.3">
      <c r="A322" s="10"/>
      <c r="B322" s="10"/>
      <c r="C322" s="10"/>
    </row>
    <row r="323" spans="1:3" ht="15.6" x14ac:dyDescent="0.3">
      <c r="A323" s="10"/>
      <c r="B323" s="10"/>
      <c r="C323" s="10"/>
    </row>
    <row r="324" spans="1:3" ht="15.6" x14ac:dyDescent="0.3">
      <c r="A324" s="10"/>
      <c r="B324" s="10"/>
      <c r="C324" s="10"/>
    </row>
    <row r="325" spans="1:3" ht="15.6" x14ac:dyDescent="0.3">
      <c r="A325" s="10"/>
      <c r="B325" s="10"/>
      <c r="C325" s="10"/>
    </row>
    <row r="326" spans="1:3" ht="15.6" x14ac:dyDescent="0.3">
      <c r="A326" s="10"/>
      <c r="B326" s="10"/>
      <c r="C326" s="10"/>
    </row>
    <row r="327" spans="1:3" ht="15.6" x14ac:dyDescent="0.3">
      <c r="A327" s="10"/>
      <c r="B327" s="10"/>
      <c r="C327" s="10"/>
    </row>
    <row r="328" spans="1:3" ht="15.6" x14ac:dyDescent="0.3">
      <c r="A328" s="10"/>
      <c r="B328" s="10"/>
      <c r="C328" s="10"/>
    </row>
    <row r="329" spans="1:3" ht="15.6" x14ac:dyDescent="0.3">
      <c r="A329" s="10"/>
      <c r="B329" s="10"/>
      <c r="C329" s="10"/>
    </row>
    <row r="330" spans="1:3" ht="15.6" x14ac:dyDescent="0.3">
      <c r="A330" s="10"/>
      <c r="B330" s="10"/>
      <c r="C330" s="10"/>
    </row>
    <row r="331" spans="1:3" ht="15.6" x14ac:dyDescent="0.3">
      <c r="A331" s="10"/>
      <c r="B331" s="10"/>
      <c r="C331" s="10"/>
    </row>
    <row r="332" spans="1:3" ht="15.6" x14ac:dyDescent="0.3">
      <c r="A332" s="10"/>
      <c r="B332" s="10"/>
      <c r="C332" s="10"/>
    </row>
    <row r="333" spans="1:3" ht="15.6" x14ac:dyDescent="0.3">
      <c r="A333" s="10"/>
      <c r="B333" s="10"/>
      <c r="C333" s="10"/>
    </row>
    <row r="334" spans="1:3" ht="15.6" x14ac:dyDescent="0.3">
      <c r="A334" s="10"/>
      <c r="B334" s="10"/>
      <c r="C334" s="10"/>
    </row>
    <row r="335" spans="1:3" ht="15.6" x14ac:dyDescent="0.3">
      <c r="A335" s="10"/>
      <c r="B335" s="10"/>
      <c r="C335" s="10"/>
    </row>
    <row r="336" spans="1:3" ht="15.6" x14ac:dyDescent="0.3">
      <c r="A336" s="10"/>
      <c r="B336" s="10"/>
      <c r="C336" s="10"/>
    </row>
    <row r="337" spans="1:3" ht="15.6" x14ac:dyDescent="0.3">
      <c r="A337" s="10"/>
      <c r="B337" s="10"/>
      <c r="C337" s="10"/>
    </row>
    <row r="338" spans="1:3" ht="15.6" x14ac:dyDescent="0.3">
      <c r="A338" s="10"/>
      <c r="B338" s="10"/>
      <c r="C338" s="10"/>
    </row>
    <row r="339" spans="1:3" ht="15.6" x14ac:dyDescent="0.3">
      <c r="A339" s="10"/>
      <c r="B339" s="10"/>
      <c r="C339" s="10"/>
    </row>
    <row r="340" spans="1:3" ht="15.6" x14ac:dyDescent="0.3">
      <c r="A340" s="10"/>
      <c r="B340" s="10"/>
      <c r="C340" s="10"/>
    </row>
    <row r="341" spans="1:3" ht="15.6" x14ac:dyDescent="0.3">
      <c r="A341" s="10"/>
      <c r="B341" s="10"/>
      <c r="C341" s="10"/>
    </row>
    <row r="342" spans="1:3" ht="15.6" x14ac:dyDescent="0.3">
      <c r="A342" s="10"/>
      <c r="B342" s="10"/>
      <c r="C342" s="10"/>
    </row>
    <row r="343" spans="1:3" ht="15.6" x14ac:dyDescent="0.3">
      <c r="A343" s="10"/>
      <c r="B343" s="10"/>
      <c r="C343" s="10"/>
    </row>
    <row r="344" spans="1:3" ht="15.6" x14ac:dyDescent="0.3">
      <c r="A344" s="10"/>
      <c r="B344" s="10"/>
      <c r="C344" s="10"/>
    </row>
    <row r="345" spans="1:3" ht="15.6" x14ac:dyDescent="0.3">
      <c r="A345" s="10"/>
      <c r="B345" s="10"/>
      <c r="C345" s="10"/>
    </row>
    <row r="346" spans="1:3" ht="15.6" x14ac:dyDescent="0.3">
      <c r="A346" s="10"/>
      <c r="B346" s="10"/>
      <c r="C346" s="10"/>
    </row>
    <row r="347" spans="1:3" ht="15.6" x14ac:dyDescent="0.3">
      <c r="A347" s="10"/>
      <c r="B347" s="10"/>
      <c r="C347" s="10"/>
    </row>
    <row r="348" spans="1:3" ht="15.6" x14ac:dyDescent="0.3">
      <c r="A348" s="10"/>
      <c r="B348" s="10"/>
      <c r="C348" s="10"/>
    </row>
    <row r="349" spans="1:3" ht="15.6" x14ac:dyDescent="0.3">
      <c r="A349" s="10"/>
      <c r="B349" s="10"/>
      <c r="C349" s="10"/>
    </row>
    <row r="350" spans="1:3" ht="15.6" x14ac:dyDescent="0.3">
      <c r="A350" s="10"/>
      <c r="B350" s="10"/>
      <c r="C350" s="10"/>
    </row>
    <row r="351" spans="1:3" ht="15.6" x14ac:dyDescent="0.3">
      <c r="A351" s="10"/>
      <c r="B351" s="10"/>
      <c r="C351" s="10"/>
    </row>
    <row r="352" spans="1:3" ht="15.6" x14ac:dyDescent="0.3">
      <c r="A352" s="10"/>
      <c r="B352" s="10"/>
      <c r="C352" s="10"/>
    </row>
    <row r="353" spans="1:3" ht="15.6" x14ac:dyDescent="0.3">
      <c r="A353" s="10"/>
      <c r="B353" s="10"/>
      <c r="C353" s="10"/>
    </row>
    <row r="354" spans="1:3" ht="15.6" x14ac:dyDescent="0.3">
      <c r="A354" s="10"/>
      <c r="B354" s="10"/>
      <c r="C354" s="10"/>
    </row>
    <row r="355" spans="1:3" ht="15.6" x14ac:dyDescent="0.3">
      <c r="A355" s="10"/>
      <c r="B355" s="10"/>
      <c r="C355" s="10"/>
    </row>
    <row r="356" spans="1:3" ht="15.6" x14ac:dyDescent="0.3">
      <c r="A356" s="10"/>
      <c r="B356" s="10"/>
      <c r="C356" s="10"/>
    </row>
    <row r="357" spans="1:3" ht="15.6" x14ac:dyDescent="0.3">
      <c r="A357" s="10"/>
      <c r="B357" s="10"/>
      <c r="C357" s="10"/>
    </row>
    <row r="358" spans="1:3" ht="15.6" x14ac:dyDescent="0.3">
      <c r="A358" s="10"/>
      <c r="B358" s="10"/>
      <c r="C358" s="10"/>
    </row>
    <row r="359" spans="1:3" ht="15.6" x14ac:dyDescent="0.3">
      <c r="A359" s="10"/>
      <c r="B359" s="10"/>
      <c r="C359" s="10"/>
    </row>
    <row r="360" spans="1:3" ht="15.6" x14ac:dyDescent="0.3">
      <c r="A360" s="10"/>
      <c r="B360" s="10"/>
      <c r="C360" s="10"/>
    </row>
    <row r="361" spans="1:3" ht="15.6" x14ac:dyDescent="0.3">
      <c r="A361" s="10"/>
      <c r="B361" s="10"/>
      <c r="C361" s="10"/>
    </row>
    <row r="362" spans="1:3" ht="15.6" x14ac:dyDescent="0.3">
      <c r="A362" s="10"/>
      <c r="B362" s="10"/>
      <c r="C362" s="10"/>
    </row>
    <row r="363" spans="1:3" ht="15.6" x14ac:dyDescent="0.3">
      <c r="A363" s="10"/>
      <c r="B363" s="10"/>
      <c r="C363" s="10"/>
    </row>
    <row r="364" spans="1:3" ht="15.6" x14ac:dyDescent="0.3">
      <c r="A364" s="10"/>
      <c r="B364" s="10"/>
      <c r="C364" s="10"/>
    </row>
    <row r="365" spans="1:3" ht="15.6" x14ac:dyDescent="0.3">
      <c r="A365" s="10"/>
      <c r="B365" s="10"/>
      <c r="C365" s="10"/>
    </row>
    <row r="366" spans="1:3" ht="15.6" x14ac:dyDescent="0.3">
      <c r="A366" s="10"/>
      <c r="B366" s="10"/>
      <c r="C366" s="10"/>
    </row>
    <row r="367" spans="1:3" ht="15.6" x14ac:dyDescent="0.3">
      <c r="A367" s="10"/>
      <c r="B367" s="10"/>
      <c r="C367" s="10"/>
    </row>
    <row r="368" spans="1:3" ht="15.6" x14ac:dyDescent="0.3">
      <c r="A368" s="10"/>
      <c r="B368" s="10"/>
      <c r="C368" s="10"/>
    </row>
    <row r="369" spans="1:3" ht="15.6" x14ac:dyDescent="0.3">
      <c r="A369" s="10"/>
      <c r="B369" s="10"/>
      <c r="C369" s="10"/>
    </row>
    <row r="370" spans="1:3" ht="15.6" x14ac:dyDescent="0.3">
      <c r="A370" s="10"/>
      <c r="B370" s="10"/>
      <c r="C370" s="10"/>
    </row>
    <row r="371" spans="1:3" ht="15.6" x14ac:dyDescent="0.3">
      <c r="A371" s="10"/>
      <c r="B371" s="10"/>
      <c r="C371" s="10"/>
    </row>
    <row r="372" spans="1:3" ht="15.6" x14ac:dyDescent="0.3">
      <c r="A372" s="10"/>
      <c r="B372" s="10"/>
      <c r="C372" s="10"/>
    </row>
    <row r="373" spans="1:3" ht="15.6" x14ac:dyDescent="0.3">
      <c r="A373" s="10"/>
      <c r="B373" s="10"/>
      <c r="C373" s="10"/>
    </row>
    <row r="374" spans="1:3" ht="15.6" x14ac:dyDescent="0.3">
      <c r="A374" s="10"/>
      <c r="B374" s="10"/>
      <c r="C374" s="10"/>
    </row>
    <row r="375" spans="1:3" ht="15.6" x14ac:dyDescent="0.3">
      <c r="A375" s="10"/>
      <c r="B375" s="10"/>
      <c r="C375" s="10"/>
    </row>
    <row r="376" spans="1:3" ht="15.6" x14ac:dyDescent="0.3">
      <c r="A376" s="10"/>
      <c r="B376" s="10"/>
      <c r="C376" s="10"/>
    </row>
    <row r="377" spans="1:3" ht="15.6" x14ac:dyDescent="0.3">
      <c r="A377" s="10"/>
      <c r="B377" s="10"/>
      <c r="C377" s="10"/>
    </row>
    <row r="378" spans="1:3" ht="15.6" x14ac:dyDescent="0.3">
      <c r="A378" s="10"/>
      <c r="B378" s="10"/>
      <c r="C378" s="10"/>
    </row>
    <row r="379" spans="1:3" ht="15.6" x14ac:dyDescent="0.3">
      <c r="A379" s="10"/>
      <c r="B379" s="10"/>
      <c r="C379" s="10"/>
    </row>
    <row r="380" spans="1:3" ht="15.6" x14ac:dyDescent="0.3">
      <c r="A380" s="10"/>
      <c r="B380" s="10"/>
      <c r="C380" s="10"/>
    </row>
    <row r="381" spans="1:3" ht="15.6" x14ac:dyDescent="0.3">
      <c r="A381" s="10"/>
      <c r="B381" s="10"/>
      <c r="C381" s="10"/>
    </row>
    <row r="382" spans="1:3" ht="15.6" x14ac:dyDescent="0.3">
      <c r="A382" s="10"/>
      <c r="B382" s="10"/>
      <c r="C382" s="10"/>
    </row>
    <row r="383" spans="1:3" ht="15.6" x14ac:dyDescent="0.3">
      <c r="A383" s="10"/>
      <c r="B383" s="10"/>
      <c r="C383" s="10"/>
    </row>
    <row r="384" spans="1:3" ht="15.6" x14ac:dyDescent="0.3">
      <c r="A384" s="10"/>
      <c r="B384" s="10"/>
      <c r="C384" s="10"/>
    </row>
    <row r="385" spans="1:3" ht="15.6" x14ac:dyDescent="0.3">
      <c r="A385" s="10"/>
      <c r="B385" s="10"/>
      <c r="C385" s="10"/>
    </row>
    <row r="386" spans="1:3" ht="15.6" x14ac:dyDescent="0.3">
      <c r="A386" s="10"/>
      <c r="B386" s="10"/>
      <c r="C386" s="10"/>
    </row>
    <row r="387" spans="1:3" ht="15.6" x14ac:dyDescent="0.3">
      <c r="A387" s="10"/>
      <c r="B387" s="10"/>
      <c r="C387" s="10"/>
    </row>
    <row r="388" spans="1:3" ht="15.6" x14ac:dyDescent="0.3">
      <c r="A388" s="10"/>
      <c r="B388" s="10"/>
      <c r="C388" s="10"/>
    </row>
    <row r="389" spans="1:3" ht="15.6" x14ac:dyDescent="0.3">
      <c r="A389" s="10"/>
      <c r="B389" s="10"/>
      <c r="C389" s="10"/>
    </row>
    <row r="390" spans="1:3" ht="15.6" x14ac:dyDescent="0.3">
      <c r="A390" s="10"/>
      <c r="B390" s="10"/>
      <c r="C390" s="10"/>
    </row>
    <row r="391" spans="1:3" ht="15.6" x14ac:dyDescent="0.3">
      <c r="A391" s="10"/>
      <c r="B391" s="10"/>
      <c r="C391" s="10"/>
    </row>
    <row r="392" spans="1:3" ht="15.6" x14ac:dyDescent="0.3">
      <c r="A392" s="10"/>
      <c r="B392" s="10"/>
      <c r="C392" s="10"/>
    </row>
    <row r="393" spans="1:3" ht="15.6" x14ac:dyDescent="0.3">
      <c r="A393" s="10"/>
      <c r="B393" s="10"/>
      <c r="C393" s="10"/>
    </row>
    <row r="394" spans="1:3" ht="15.6" x14ac:dyDescent="0.3">
      <c r="A394" s="10"/>
      <c r="B394" s="10"/>
      <c r="C394" s="10"/>
    </row>
    <row r="395" spans="1:3" ht="15.6" x14ac:dyDescent="0.3">
      <c r="A395" s="10"/>
      <c r="B395" s="10"/>
      <c r="C395" s="10"/>
    </row>
    <row r="396" spans="1:3" ht="15.6" x14ac:dyDescent="0.3">
      <c r="A396" s="10"/>
      <c r="B396" s="10"/>
      <c r="C396" s="10"/>
    </row>
    <row r="397" spans="1:3" ht="15.6" x14ac:dyDescent="0.3">
      <c r="A397" s="10"/>
      <c r="B397" s="10"/>
      <c r="C397" s="10"/>
    </row>
    <row r="398" spans="1:3" ht="15.6" x14ac:dyDescent="0.3">
      <c r="A398" s="10"/>
      <c r="B398" s="10"/>
      <c r="C398" s="10"/>
    </row>
    <row r="399" spans="1:3" ht="15.6" x14ac:dyDescent="0.3">
      <c r="A399" s="10"/>
      <c r="B399" s="10"/>
      <c r="C399" s="10"/>
    </row>
    <row r="400" spans="1:3" ht="15.6" x14ac:dyDescent="0.3">
      <c r="A400" s="10"/>
      <c r="B400" s="10"/>
      <c r="C400" s="10"/>
    </row>
    <row r="401" spans="1:3" ht="15.6" x14ac:dyDescent="0.3">
      <c r="A401" s="10"/>
      <c r="B401" s="10"/>
      <c r="C401" s="10"/>
    </row>
    <row r="402" spans="1:3" ht="15.6" x14ac:dyDescent="0.3">
      <c r="A402" s="10"/>
      <c r="B402" s="10"/>
      <c r="C402" s="10"/>
    </row>
    <row r="403" spans="1:3" ht="15.6" x14ac:dyDescent="0.3">
      <c r="A403" s="10"/>
      <c r="B403" s="10"/>
      <c r="C403" s="10"/>
    </row>
    <row r="404" spans="1:3" ht="15.6" x14ac:dyDescent="0.3">
      <c r="A404" s="10"/>
      <c r="B404" s="10"/>
      <c r="C404" s="10"/>
    </row>
    <row r="405" spans="1:3" ht="15.6" x14ac:dyDescent="0.3">
      <c r="A405" s="10"/>
      <c r="B405" s="10"/>
      <c r="C405" s="10"/>
    </row>
    <row r="406" spans="1:3" ht="15.6" x14ac:dyDescent="0.3">
      <c r="A406" s="10"/>
      <c r="B406" s="10"/>
      <c r="C406" s="10"/>
    </row>
    <row r="407" spans="1:3" ht="15.6" x14ac:dyDescent="0.3">
      <c r="A407" s="10"/>
      <c r="B407" s="10"/>
      <c r="C407" s="10"/>
    </row>
    <row r="408" spans="1:3" ht="15.6" x14ac:dyDescent="0.3">
      <c r="A408" s="10"/>
      <c r="B408" s="10"/>
      <c r="C408" s="10"/>
    </row>
    <row r="409" spans="1:3" ht="15.6" x14ac:dyDescent="0.3">
      <c r="A409" s="10"/>
      <c r="B409" s="10"/>
      <c r="C409" s="10"/>
    </row>
    <row r="410" spans="1:3" ht="15.6" x14ac:dyDescent="0.3">
      <c r="A410" s="10"/>
      <c r="B410" s="10"/>
      <c r="C410" s="10"/>
    </row>
    <row r="411" spans="1:3" ht="15.6" x14ac:dyDescent="0.3">
      <c r="A411" s="10"/>
      <c r="B411" s="10"/>
      <c r="C411" s="10"/>
    </row>
    <row r="412" spans="1:3" ht="15.6" x14ac:dyDescent="0.3">
      <c r="A412" s="10"/>
      <c r="B412" s="10"/>
      <c r="C412" s="10"/>
    </row>
    <row r="413" spans="1:3" ht="15.6" x14ac:dyDescent="0.3">
      <c r="A413" s="10"/>
      <c r="B413" s="10"/>
      <c r="C413" s="10"/>
    </row>
    <row r="414" spans="1:3" ht="15.6" x14ac:dyDescent="0.3">
      <c r="A414" s="10"/>
      <c r="B414" s="10"/>
      <c r="C414" s="10"/>
    </row>
    <row r="415" spans="1:3" ht="15.6" x14ac:dyDescent="0.3">
      <c r="A415" s="10"/>
      <c r="B415" s="10"/>
      <c r="C415" s="10"/>
    </row>
    <row r="416" spans="1:3" ht="15.6" x14ac:dyDescent="0.3">
      <c r="A416" s="10"/>
      <c r="B416" s="10"/>
      <c r="C416" s="10"/>
    </row>
    <row r="417" spans="1:3" ht="15.6" x14ac:dyDescent="0.3">
      <c r="A417" s="10"/>
      <c r="B417" s="10"/>
      <c r="C417" s="10"/>
    </row>
    <row r="418" spans="1:3" ht="15.6" x14ac:dyDescent="0.3">
      <c r="A418" s="10"/>
      <c r="B418" s="10"/>
      <c r="C418" s="10"/>
    </row>
    <row r="419" spans="1:3" ht="15.6" x14ac:dyDescent="0.3">
      <c r="A419" s="10"/>
      <c r="B419" s="10"/>
      <c r="C419" s="10"/>
    </row>
    <row r="420" spans="1:3" ht="15.6" x14ac:dyDescent="0.3">
      <c r="A420" s="10"/>
      <c r="B420" s="10"/>
      <c r="C420" s="10"/>
    </row>
    <row r="421" spans="1:3" ht="15.6" x14ac:dyDescent="0.3">
      <c r="A421" s="10"/>
      <c r="B421" s="10"/>
      <c r="C421" s="10"/>
    </row>
    <row r="422" spans="1:3" ht="15.6" x14ac:dyDescent="0.3">
      <c r="A422" s="10"/>
      <c r="B422" s="10"/>
      <c r="C422" s="10"/>
    </row>
    <row r="423" spans="1:3" ht="15.6" x14ac:dyDescent="0.3">
      <c r="A423" s="10"/>
      <c r="B423" s="10"/>
      <c r="C423" s="10"/>
    </row>
    <row r="424" spans="1:3" ht="15.6" x14ac:dyDescent="0.3">
      <c r="A424" s="10"/>
      <c r="B424" s="10"/>
      <c r="C424" s="10"/>
    </row>
    <row r="425" spans="1:3" ht="15.6" x14ac:dyDescent="0.3">
      <c r="A425" s="10"/>
      <c r="B425" s="10"/>
      <c r="C425" s="10"/>
    </row>
    <row r="426" spans="1:3" ht="15.6" x14ac:dyDescent="0.3">
      <c r="A426" s="10"/>
      <c r="B426" s="10"/>
      <c r="C426" s="10"/>
    </row>
    <row r="427" spans="1:3" ht="15.6" x14ac:dyDescent="0.3">
      <c r="A427" s="10"/>
      <c r="B427" s="10"/>
      <c r="C427" s="10"/>
    </row>
    <row r="428" spans="1:3" ht="15.6" x14ac:dyDescent="0.3">
      <c r="A428" s="10"/>
      <c r="B428" s="10"/>
      <c r="C428" s="10"/>
    </row>
    <row r="429" spans="1:3" ht="15.6" x14ac:dyDescent="0.3">
      <c r="A429" s="10"/>
      <c r="B429" s="10"/>
      <c r="C429" s="10"/>
    </row>
    <row r="430" spans="1:3" ht="15.6" x14ac:dyDescent="0.3">
      <c r="A430" s="10"/>
      <c r="B430" s="10"/>
      <c r="C430" s="10"/>
    </row>
    <row r="431" spans="1:3" ht="15.6" x14ac:dyDescent="0.3">
      <c r="A431" s="10"/>
      <c r="B431" s="10"/>
      <c r="C431" s="10"/>
    </row>
    <row r="432" spans="1:3" ht="15.6" x14ac:dyDescent="0.3">
      <c r="A432" s="10"/>
      <c r="B432" s="10"/>
      <c r="C432" s="10"/>
    </row>
    <row r="433" spans="1:3" ht="15.6" x14ac:dyDescent="0.3">
      <c r="A433" s="10"/>
      <c r="B433" s="10"/>
      <c r="C433" s="10"/>
    </row>
    <row r="434" spans="1:3" ht="15.6" x14ac:dyDescent="0.3">
      <c r="A434" s="10"/>
      <c r="B434" s="10"/>
      <c r="C434" s="10"/>
    </row>
    <row r="435" spans="1:3" ht="15.6" x14ac:dyDescent="0.3">
      <c r="A435" s="10"/>
      <c r="B435" s="10"/>
      <c r="C435" s="10"/>
    </row>
    <row r="436" spans="1:3" ht="15.6" x14ac:dyDescent="0.3">
      <c r="A436" s="10"/>
      <c r="B436" s="10"/>
      <c r="C436" s="10"/>
    </row>
    <row r="437" spans="1:3" ht="15.6" x14ac:dyDescent="0.3">
      <c r="A437" s="10"/>
      <c r="B437" s="10"/>
      <c r="C437" s="10"/>
    </row>
    <row r="438" spans="1:3" ht="15.6" x14ac:dyDescent="0.3">
      <c r="A438" s="10"/>
      <c r="B438" s="10"/>
      <c r="C438" s="10"/>
    </row>
  </sheetData>
  <autoFilter ref="A1:C16" xr:uid="{D5649CD4-7436-4415-A9C9-0E06B9ECC71C}">
    <sortState xmlns:xlrd2="http://schemas.microsoft.com/office/spreadsheetml/2017/richdata2" ref="A2:C9">
      <sortCondition ref="A1:A9"/>
    </sortState>
  </autoFilter>
  <phoneticPr fontId="9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c6d835-384d-4eee-b5e4-7a7d42cb3d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4A59D84FFE1748BB38BBBF60A87067" ma:contentTypeVersion="6" ma:contentTypeDescription="Create a new document." ma:contentTypeScope="" ma:versionID="122dd576e940e33e9bdee9d882a1d0b8">
  <xsd:schema xmlns:xsd="http://www.w3.org/2001/XMLSchema" xmlns:xs="http://www.w3.org/2001/XMLSchema" xmlns:p="http://schemas.microsoft.com/office/2006/metadata/properties" xmlns:ns3="86c6d835-384d-4eee-b5e4-7a7d42cb3d19" targetNamespace="http://schemas.microsoft.com/office/2006/metadata/properties" ma:root="true" ma:fieldsID="ef1bdbddccf683fbaa0b0495f4025495" ns3:_="">
    <xsd:import namespace="86c6d835-384d-4eee-b5e4-7a7d42cb3d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6d835-384d-4eee-b5e4-7a7d42cb3d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B2CB7-F996-4C7B-B8F6-D759D6846113}">
  <ds:schemaRefs>
    <ds:schemaRef ds:uri="http://purl.org/dc/dcmitype/"/>
    <ds:schemaRef ds:uri="86c6d835-384d-4eee-b5e4-7a7d42cb3d19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1125AE-989D-4A8E-B764-68DA4A2ACC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8C6C55-1841-4DCB-B412-B1F89DBD7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c6d835-384d-4eee-b5e4-7a7d42cb3d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Report</vt:lpstr>
      <vt:lpstr>Farinhas</vt:lpstr>
      <vt:lpstr>base 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Gledson Rocha</dc:creator>
  <cp:lastModifiedBy>Diego da Silva Batista</cp:lastModifiedBy>
  <cp:lastPrinted>2026-10-20T13:43:16Z</cp:lastPrinted>
  <dcterms:created xsi:type="dcterms:W3CDTF">2022-05-13T10:47:56Z</dcterms:created>
  <dcterms:modified xsi:type="dcterms:W3CDTF">2026-10-28T14:09:00Z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0x0101004A4A59D84FFE1748BB38BBBF60A87067</vt:lpwstr>
  </property>
</Properties>
</file>